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, 2024" sheetId="1" r:id="rId5"/>
  </sheets>
  <definedNames/>
  <calcPr/>
</workbook>
</file>

<file path=xl/sharedStrings.xml><?xml version="1.0" encoding="utf-8"?>
<sst xmlns="http://schemas.openxmlformats.org/spreadsheetml/2006/main" count="172" uniqueCount="133">
  <si>
    <t>Month - November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</si>
  <si>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</si>
  <si>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</si>
  <si>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</si>
  <si>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</si>
  <si>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</si>
  <si>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</si>
  <si>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</si>
  <si>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</si>
  <si>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</si>
  <si>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</si>
  <si>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</si>
  <si>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</si>
  <si>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</si>
  <si>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</si>
  <si>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NSF002</t>
  </si>
  <si>
    <t>Safiqul Islam -President</t>
  </si>
  <si>
    <t>NSF003</t>
  </si>
  <si>
    <t>Moin Uddin -Accountant</t>
  </si>
  <si>
    <t>NSF004</t>
  </si>
  <si>
    <t>Nurul Amin Samrat -Asst. Acc</t>
  </si>
  <si>
    <t>Nagad</t>
  </si>
  <si>
    <t>Samrat</t>
  </si>
  <si>
    <t>NSF005</t>
  </si>
  <si>
    <t>Nayem Islam -GS</t>
  </si>
  <si>
    <t>He used to get money from me. I have deducted 1K from that money and returned the rest to him.</t>
  </si>
  <si>
    <t>NSF006</t>
  </si>
  <si>
    <t>Abdul Hannan Khan -Convener</t>
  </si>
  <si>
    <t>Bkash</t>
  </si>
  <si>
    <t>Due November late fee</t>
  </si>
  <si>
    <t>NSF007</t>
  </si>
  <si>
    <t>Bayzid Hasan</t>
  </si>
  <si>
    <t>NSF008</t>
  </si>
  <si>
    <t>Munzur Rahman Munib</t>
  </si>
  <si>
    <t>Sept Penalty Paid</t>
  </si>
  <si>
    <t>NSF009</t>
  </si>
  <si>
    <t>Mizanur Rahman</t>
  </si>
  <si>
    <t>NSF010</t>
  </si>
  <si>
    <t>H. M Mahmudul Hasan</t>
  </si>
  <si>
    <t>NSF011</t>
  </si>
  <si>
    <t>Shoaib Ali</t>
  </si>
  <si>
    <t>Due November payment</t>
  </si>
  <si>
    <t>NSF012</t>
  </si>
  <si>
    <t>Rakib Talukder</t>
  </si>
  <si>
    <t>His balance was 30 tk. Now due is 1010 tk</t>
  </si>
  <si>
    <t>NSF013</t>
  </si>
  <si>
    <t>H. M Ali Hossain</t>
  </si>
  <si>
    <t>Due October penalty</t>
  </si>
  <si>
    <t>NSF014</t>
  </si>
  <si>
    <t>MD. Mustafizur Rahman Kollol</t>
  </si>
  <si>
    <t>NSF015</t>
  </si>
  <si>
    <t>Kawsar Ullah</t>
  </si>
  <si>
    <t>Due July-Nov 2600</t>
  </si>
  <si>
    <t>NSF016</t>
  </si>
  <si>
    <t>Arifur Rahman -Patuakhali</t>
  </si>
  <si>
    <t>Oct+November paid</t>
  </si>
  <si>
    <t>NSF017</t>
  </si>
  <si>
    <t>Mamun Mridha</t>
  </si>
  <si>
    <t>NSF018</t>
  </si>
  <si>
    <t>Masum Billah</t>
  </si>
  <si>
    <t>All dues are clear</t>
  </si>
  <si>
    <t>NSF019</t>
  </si>
  <si>
    <t>Mamun Al Mahin- Ptk</t>
  </si>
  <si>
    <t>April penalty unpaid</t>
  </si>
  <si>
    <t>NSF020</t>
  </si>
  <si>
    <t>Nasim Billah Rafi</t>
  </si>
  <si>
    <t>Due June-Nov payment+May cash out charge</t>
  </si>
  <si>
    <t>NSF021</t>
  </si>
  <si>
    <t>MD. Tawhid Islam</t>
  </si>
  <si>
    <t>Due Nov payment</t>
  </si>
  <si>
    <t>NSF022</t>
  </si>
  <si>
    <t>Mahmudur Rahman Hasib</t>
  </si>
  <si>
    <t>Due May, June-Nov</t>
  </si>
  <si>
    <t>NSF023</t>
  </si>
  <si>
    <t>MD. Abdullah Al Jobair</t>
  </si>
  <si>
    <t>May cash out charge tk 10+ june - Nov payment + penalty</t>
  </si>
  <si>
    <t>NSF024</t>
  </si>
  <si>
    <t>Arif - Gowranodi</t>
  </si>
  <si>
    <t>NSF025</t>
  </si>
  <si>
    <t>Sible Iqbal</t>
  </si>
  <si>
    <t>Due July, aug penalty+Sept+Oct+Nov payment &amp; penalty.</t>
  </si>
  <si>
    <t>NSF026</t>
  </si>
  <si>
    <t>Shikder Tanim</t>
  </si>
  <si>
    <t>NSF027</t>
  </si>
  <si>
    <t>Mamun Al Mahin (Khulna)</t>
  </si>
  <si>
    <t>Due June - Nov payment</t>
  </si>
  <si>
    <t>NSF028</t>
  </si>
  <si>
    <t>Al Amin Sohel Khandaker</t>
  </si>
  <si>
    <t>Paid for November &amp; December payment</t>
  </si>
  <si>
    <t>NSF029</t>
  </si>
  <si>
    <t>Hasan Al Emran</t>
  </si>
  <si>
    <t>NSF030</t>
  </si>
  <si>
    <t>H. M Wali Ullah</t>
  </si>
  <si>
    <t>Nov payment due</t>
  </si>
  <si>
    <t>NSF031</t>
  </si>
  <si>
    <t>Yasin Arafat</t>
  </si>
  <si>
    <t>For Sept-December 24.</t>
  </si>
  <si>
    <t>NSF032</t>
  </si>
  <si>
    <t>Ahsan Ul Tanvir</t>
  </si>
  <si>
    <t>Due Mar-Nov payment. No penalty for aug</t>
  </si>
  <si>
    <t>NSF033</t>
  </si>
  <si>
    <t>H. M Sakawat Ullah</t>
  </si>
  <si>
    <t>Due Nov payment &amp; 60 tk oct penalty fee.</t>
  </si>
  <si>
    <t>NSF034</t>
  </si>
  <si>
    <t>Abu Bakar Rohan</t>
  </si>
  <si>
    <t xml:space="preserve"> Due Jan-May Share amounts</t>
  </si>
  <si>
    <t>NSF035</t>
  </si>
  <si>
    <t>Mamunur Rashid</t>
  </si>
  <si>
    <t>Paid</t>
  </si>
  <si>
    <t>Advanced. He joined in October &amp; paid January-December-24 at once.</t>
  </si>
  <si>
    <t>NSF036</t>
  </si>
  <si>
    <t>NSF037</t>
  </si>
  <si>
    <t>NSF038</t>
  </si>
  <si>
    <t>NSF039</t>
  </si>
  <si>
    <t>NSF040</t>
  </si>
  <si>
    <t>Total Share</t>
  </si>
  <si>
    <t>Total Amount</t>
  </si>
  <si>
    <t>Finance Holder</t>
  </si>
  <si>
    <t>January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</si>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</sst>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"/>
    <numFmt numFmtId="165" formatCode="m-d-yy"/>
  </numFmts>
  <fonts count="36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sz val="10.0"/>
      <color rgb="FF34A853"/>
      <name val="Comfortaa"/>
    </font>
    <font>
      <b/>
      <sz val="10.0"/>
      <color rgb="FFFF0000"/>
      <name val="Comfortaa"/>
    </font>
    <font>
      <sz val="10.0"/>
      <color theme="1"/>
      <name val="Comfortaa"/>
    </font>
    <font>
      <b/>
      <sz val="12.0"/>
      <color rgb="FF9900FF"/>
      <name val="Comfortaa"/>
    </font>
    <font>
      <color theme="1"/>
      <name val="Comfortaa"/>
    </font>
    <font>
      <b/>
      <sz val="10.0"/>
      <color rgb="FF2A8947"/>
      <name val="Comfortaa"/>
    </font>
    <font>
      <b/>
      <sz val="12.0"/>
      <color rgb="FF000000"/>
      <name val="Comfortaa"/>
    </font>
    <font>
      <b/>
      <sz val="12.0"/>
      <color rgb="FFFF0000"/>
      <name val="Comfortaa"/>
    </font>
    <font>
      <sz val="10.0"/>
      <color rgb="FF2A8947"/>
      <name val="Comfortaa"/>
    </font>
    <font>
      <b/>
      <color rgb="FF9900FF"/>
      <name val="Comfortaa"/>
    </font>
    <font>
      <b/>
      <sz val="10.0"/>
      <color rgb="FF34A853"/>
      <name val="Comfortaa"/>
    </font>
    <font>
      <b/>
      <sz val="12.0"/>
      <color rgb="FF34A853"/>
      <name val="Comfortaa"/>
    </font>
    <font>
      <b/>
      <sz val="10.0"/>
      <color theme="1"/>
      <name val="Comfortaa"/>
    </font>
    <font>
      <color theme="1"/>
      <name val="Arial"/>
      <scheme val="minor"/>
    </font>
    <font>
      <b/>
      <sz val="20.0"/>
      <color rgb="FFFFFFFF"/>
      <name val="Comfortaa"/>
    </font>
    <font>
      <sz val="10.0"/>
      <color theme="1"/>
      <name val="Arial"/>
      <scheme val="minor"/>
    </font>
    <font>
      <b/>
      <color theme="1"/>
      <name val="Comfortaa"/>
    </font>
    <font>
      <b/>
      <sz val="15.0"/>
      <color rgb="FFFFFFFF"/>
      <name val="Comfortaa"/>
    </font>
    <font>
      <b/>
      <sz val="19.0"/>
      <color rgb="FFFFFFFF"/>
      <name val="Comfortaa"/>
    </font>
    <font>
      <b/>
      <sz val="18.0"/>
      <color theme="1"/>
      <name val="Comfortaa"/>
    </font>
    <font>
      <b/>
      <sz val="17.0"/>
      <color theme="1"/>
      <name val="Comfortaa"/>
    </font>
    <font>
      <b/>
      <sz val="17.0"/>
      <color rgb="FF000000"/>
      <name val="Comfortaa"/>
    </font>
    <font>
      <b/>
      <sz val="19.0"/>
      <color theme="1"/>
      <name val="Comfortaa"/>
    </font>
    <font>
      <b/>
      <sz val="19.0"/>
      <color rgb="FFFF0000"/>
      <name val="Comfortaa"/>
    </font>
    <font>
      <b/>
      <sz val="20.0"/>
      <color rgb="FF000000"/>
      <name val="Comfortaa"/>
    </font>
    <font>
      <b/>
      <sz val="20.0"/>
      <color theme="1"/>
      <name val="Comfortaa"/>
    </font>
    <font>
      <b/>
      <sz val="19.0"/>
      <color rgb="FFFFFFFF"/>
      <name val="Arial"/>
      <scheme val="minor"/>
    </font>
    <font>
      <b/>
      <sz val="30.0"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 readingOrder="0" shrinkToFit="0" wrapText="1"/>
    </xf>
    <xf borderId="4" fillId="5" fontId="5" numFmtId="0" xfId="0" applyAlignment="1" applyBorder="1" applyFill="1" applyFont="1">
      <alignment horizontal="center" readingOrder="0" vertical="center"/>
    </xf>
    <xf borderId="4" fillId="5" fontId="5" numFmtId="0" xfId="0" applyAlignment="1" applyBorder="1" applyFill="1" applyFont="1">
      <alignment horizontal="left" readingOrder="0" vertical="center"/>
    </xf>
    <xf borderId="4" fillId="0" fontId="6" numFmtId="0" xfId="0" applyAlignment="1" applyBorder="1" applyFont="1">
      <alignment horizontal="center" readingOrder="0" vertical="center"/>
    </xf>
    <xf borderId="4" fillId="6" fontId="7" numFmtId="0" xfId="0" applyAlignment="1" applyBorder="1" applyFill="1" applyFont="1">
      <alignment horizontal="center" readingOrder="0" vertical="center"/>
    </xf>
    <xf borderId="3" fillId="6" fontId="7" numFmtId="0" xfId="0" applyAlignment="1" applyBorder="1" applyFill="1" applyFont="1">
      <alignment horizontal="center" readingOrder="0" vertical="center"/>
    </xf>
    <xf borderId="3" fillId="6" fontId="7" numFmtId="0" xfId="0" applyAlignment="1" applyBorder="1" applyFill="1" applyFont="1">
      <alignment horizontal="center" vertical="center"/>
    </xf>
    <xf borderId="3" fillId="0" fontId="7" numFmtId="164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readingOrder="0" vertical="center"/>
    </xf>
    <xf borderId="4" fillId="6" fontId="8" numFmtId="0" xfId="0" applyAlignment="1" applyBorder="1" applyFill="1" applyFont="1">
      <alignment readingOrder="0" shrinkToFit="0" wrapText="1"/>
    </xf>
    <xf borderId="4" fillId="6" fontId="9" numFmtId="0" xfId="0" applyAlignment="1" applyBorder="1" applyFill="1" applyFont="1">
      <alignment horizontal="left" readingOrder="0" shrinkToFit="0" vertical="center" wrapText="1"/>
    </xf>
    <xf borderId="4" fillId="6" fontId="10" numFmtId="0" xfId="0" applyAlignment="1" applyBorder="1" applyFill="1" applyFont="1">
      <alignment shrinkToFit="0" wrapText="1"/>
    </xf>
    <xf borderId="4" fillId="6" fontId="11" numFmtId="0" xfId="0" applyAlignment="1" applyBorder="1" applyFill="1" applyFont="1">
      <alignment horizontal="center" readingOrder="0"/>
    </xf>
    <xf borderId="4" fillId="6" fontId="11" numFmtId="165" xfId="0" applyAlignment="1" applyBorder="1" applyFill="1" applyFont="1" applyNumberFormat="1">
      <alignment horizontal="center" readingOrder="0"/>
    </xf>
    <xf borderId="4" fillId="6" fontId="12" numFmtId="0" xfId="0" applyAlignment="1" applyBorder="1" applyFill="1" applyFont="1">
      <alignment horizontal="center"/>
    </xf>
    <xf borderId="4" fillId="6" fontId="12" numFmtId="0" xfId="0" applyBorder="1" applyFill="1" applyFont="1"/>
    <xf borderId="4" fillId="6" fontId="13" numFmtId="0" xfId="0" applyAlignment="1" applyBorder="1" applyFill="1" applyFont="1">
      <alignment readingOrder="0" shrinkToFit="0" vertical="center" wrapText="1"/>
    </xf>
    <xf borderId="4" fillId="0" fontId="14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readingOrder="0" vertical="center"/>
    </xf>
    <xf borderId="4" fillId="6" fontId="9" numFmtId="0" xfId="0" applyAlignment="1" applyBorder="1" applyFill="1" applyFont="1">
      <alignment readingOrder="0" shrinkToFit="0" vertical="center" wrapText="1"/>
    </xf>
    <xf borderId="4" fillId="7" fontId="6" numFmtId="0" xfId="0" applyAlignment="1" applyBorder="1" applyFill="1" applyFont="1">
      <alignment horizontal="left" readingOrder="0" vertical="center"/>
    </xf>
    <xf borderId="4" fillId="7" fontId="6" numFmtId="0" xfId="0" applyAlignment="1" applyBorder="1" applyFill="1" applyFont="1">
      <alignment horizontal="center" readingOrder="0" vertical="center"/>
    </xf>
    <xf borderId="4" fillId="6" fontId="16" numFmtId="0" xfId="0" applyAlignment="1" applyBorder="1" applyFill="1" applyFont="1">
      <alignment shrinkToFit="0" wrapText="1"/>
    </xf>
    <xf borderId="4" fillId="6" fontId="6" numFmtId="0" xfId="0" applyAlignment="1" applyBorder="1" applyFill="1" applyFont="1">
      <alignment horizontal="left" readingOrder="0" vertical="center"/>
    </xf>
    <xf borderId="3" fillId="6" fontId="7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horizontal="center"/>
    </xf>
    <xf borderId="4" fillId="6" fontId="13" numFmtId="0" xfId="0" applyAlignment="1" applyBorder="1" applyFill="1" applyFont="1">
      <alignment horizontal="left" readingOrder="0" shrinkToFit="0" vertical="center" wrapText="1"/>
    </xf>
    <xf borderId="4" fillId="6" fontId="7" numFmtId="0" xfId="0" applyAlignment="1" applyBorder="1" applyFill="1" applyFont="1">
      <alignment horizontal="center" vertical="bottom"/>
    </xf>
    <xf borderId="3" fillId="6" fontId="7" numFmtId="0" xfId="0" applyAlignment="1" applyBorder="1" applyFill="1" applyFont="1">
      <alignment horizontal="center" readingOrder="0" vertical="bottom"/>
    </xf>
    <xf borderId="3" fillId="6" fontId="7" numFmtId="0" xfId="0" applyAlignment="1" applyBorder="1" applyFill="1" applyFont="1">
      <alignment horizontal="center" vertical="bottom"/>
    </xf>
    <xf borderId="3" fillId="0" fontId="7" numFmtId="164" xfId="0" applyAlignment="1" applyBorder="1" applyFont="1" applyNumberFormat="1">
      <alignment horizontal="center" readingOrder="0" vertical="bottom"/>
    </xf>
    <xf borderId="4" fillId="6" fontId="11" numFmtId="0" xfId="0" applyAlignment="1" applyBorder="1" applyFill="1" applyFont="1">
      <alignment horizontal="center" readingOrder="0" vertical="bottom"/>
    </xf>
    <xf borderId="3" fillId="6" fontId="11" numFmtId="0" xfId="0" applyAlignment="1" applyBorder="1" applyFill="1" applyFont="1">
      <alignment horizontal="center" readingOrder="0" vertical="bottom"/>
    </xf>
    <xf borderId="3" fillId="6" fontId="11" numFmtId="164" xfId="0" applyAlignment="1" applyBorder="1" applyFill="1" applyFont="1" applyNumberFormat="1">
      <alignment horizontal="center" readingOrder="0" vertical="bottom"/>
    </xf>
    <xf borderId="3" fillId="6" fontId="15" numFmtId="0" xfId="0" applyAlignment="1" applyBorder="1" applyFill="1" applyFont="1">
      <alignment horizontal="center" readingOrder="0"/>
    </xf>
    <xf borderId="4" fillId="6" fontId="9" numFmtId="0" xfId="0" applyAlignment="1" applyBorder="1" applyFill="1" applyFont="1">
      <alignment readingOrder="0" shrinkToFit="0" wrapText="1"/>
    </xf>
    <xf borderId="4" fillId="6" fontId="17" numFmtId="0" xfId="0" applyAlignment="1" applyBorder="1" applyFill="1" applyFont="1">
      <alignment readingOrder="0"/>
    </xf>
    <xf borderId="4" fillId="6" fontId="17" numFmtId="165" xfId="0" applyAlignment="1" applyBorder="1" applyFill="1" applyFont="1" applyNumberFormat="1">
      <alignment readingOrder="0"/>
    </xf>
    <xf borderId="4" fillId="6" fontId="15" numFmtId="0" xfId="0" applyAlignment="1" applyBorder="1" applyFill="1" applyFont="1">
      <alignment horizontal="center" readingOrder="0"/>
    </xf>
    <xf borderId="4" fillId="6" fontId="14" numFmtId="0" xfId="0" applyAlignment="1" applyBorder="1" applyFill="1" applyFont="1">
      <alignment horizontal="left" readingOrder="0" vertical="center"/>
    </xf>
    <xf borderId="4" fillId="6" fontId="6" numFmtId="0" xfId="0" applyAlignment="1" applyBorder="1" applyFill="1" applyFont="1">
      <alignment horizontal="center" readingOrder="0" vertical="center"/>
    </xf>
    <xf borderId="4" fillId="2" fontId="15" numFmtId="0" xfId="0" applyAlignment="1" applyBorder="1" applyFill="1" applyFont="1">
      <alignment horizontal="center" readingOrder="0" vertical="center"/>
    </xf>
    <xf borderId="4" fillId="2" fontId="9" numFmtId="0" xfId="0" applyAlignment="1" applyBorder="1" applyFill="1" applyFont="1">
      <alignment horizontal="left" readingOrder="0" shrinkToFit="0" vertical="center" wrapText="1"/>
    </xf>
    <xf borderId="4" fillId="6" fontId="11" numFmtId="164" xfId="0" applyAlignment="1" applyBorder="1" applyFill="1" applyFont="1" applyNumberFormat="1">
      <alignment horizontal="center" readingOrder="0"/>
    </xf>
    <xf borderId="4" fillId="6" fontId="7" numFmtId="0" xfId="0" applyAlignment="1" applyBorder="1" applyFill="1" applyFont="1">
      <alignment horizontal="center" vertical="bottom"/>
    </xf>
    <xf borderId="3" fillId="6" fontId="7" numFmtId="0" xfId="0" applyAlignment="1" applyBorder="1" applyFill="1" applyFont="1">
      <alignment horizontal="center" vertical="bottom"/>
    </xf>
    <xf borderId="3" fillId="0" fontId="7" numFmtId="0" xfId="0" applyAlignment="1" applyBorder="1" applyFont="1">
      <alignment horizontal="center" vertical="bottom"/>
    </xf>
    <xf borderId="4" fillId="6" fontId="13" numFmtId="0" xfId="0" applyAlignment="1" applyBorder="1" applyFill="1" applyFont="1">
      <alignment readingOrder="0" shrinkToFit="0" wrapText="1"/>
    </xf>
    <xf borderId="4" fillId="6" fontId="18" numFmtId="0" xfId="0" applyAlignment="1" applyBorder="1" applyFill="1" applyFont="1">
      <alignment readingOrder="0" shrinkToFit="0" vertical="center" wrapText="1"/>
    </xf>
    <xf borderId="4" fillId="6" fontId="9" numFmtId="0" xfId="0" applyAlignment="1" applyBorder="1" applyFill="1" applyFont="1">
      <alignment horizontal="left" readingOrder="0" shrinkToFit="0" wrapText="1"/>
    </xf>
    <xf borderId="4" fillId="2" fontId="9" numFmtId="0" xfId="0" applyAlignment="1" applyBorder="1" applyFill="1" applyFont="1">
      <alignment readingOrder="0" shrinkToFit="0" vertical="center" wrapText="1"/>
    </xf>
    <xf borderId="4" fillId="0" fontId="14" numFmtId="0" xfId="0" applyAlignment="1" applyBorder="1" applyFont="1">
      <alignment horizontal="left" readingOrder="0" vertical="center"/>
    </xf>
    <xf borderId="4" fillId="6" fontId="7" numFmtId="0" xfId="0" applyAlignment="1" applyBorder="1" applyFill="1" applyFont="1">
      <alignment horizontal="center" readingOrder="0" vertical="bottom"/>
    </xf>
    <xf borderId="3" fillId="6" fontId="7" numFmtId="164" xfId="0" applyAlignment="1" applyBorder="1" applyFill="1" applyFont="1" applyNumberFormat="1">
      <alignment horizontal="center" readingOrder="0" vertical="bottom"/>
    </xf>
    <xf borderId="3" fillId="6" fontId="15" numFmtId="0" xfId="0" applyAlignment="1" applyBorder="1" applyFill="1" applyFont="1">
      <alignment horizontal="center" readingOrder="0" vertical="bottom"/>
    </xf>
    <xf borderId="4" fillId="6" fontId="14" numFmtId="0" xfId="0" applyAlignment="1" applyBorder="1" applyFill="1" applyFont="1">
      <alignment horizontal="center" readingOrder="0" vertical="center"/>
    </xf>
    <xf borderId="4" fillId="6" fontId="7" numFmtId="0" xfId="0" applyAlignment="1" applyBorder="1" applyFill="1" applyFont="1">
      <alignment horizontal="center" readingOrder="0"/>
    </xf>
    <xf borderId="4" fillId="6" fontId="7" numFmtId="164" xfId="0" applyAlignment="1" applyBorder="1" applyFill="1" applyFont="1" applyNumberFormat="1">
      <alignment horizontal="center" readingOrder="0"/>
    </xf>
    <xf borderId="4" fillId="6" fontId="7" numFmtId="0" xfId="0" applyAlignment="1" applyBorder="1" applyFill="1" applyFont="1">
      <alignment horizontal="center" vertical="center"/>
    </xf>
    <xf borderId="4" fillId="0" fontId="7" numFmtId="164" xfId="0" applyAlignment="1" applyBorder="1" applyFont="1" applyNumberFormat="1">
      <alignment horizontal="center" readingOrder="0"/>
    </xf>
    <xf borderId="4" fillId="0" fontId="7" numFmtId="14" xfId="0" applyAlignment="1" applyBorder="1" applyFont="1" applyNumberFormat="1">
      <alignment horizontal="center" readingOrder="0" vertical="center"/>
    </xf>
    <xf borderId="3" fillId="0" fontId="19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left" readingOrder="0" shrinkToFit="0" vertical="center" wrapText="1"/>
    </xf>
    <xf borderId="4" fillId="6" fontId="20" numFmtId="0" xfId="0" applyAlignment="1" applyBorder="1" applyFill="1" applyFont="1">
      <alignment shrinkToFit="0" wrapText="1"/>
    </xf>
    <xf borderId="3" fillId="2" fontId="15" numFmtId="0" xfId="0" applyAlignment="1" applyBorder="1" applyFill="1" applyFont="1">
      <alignment horizontal="center" readingOrder="0" vertical="center"/>
    </xf>
    <xf borderId="4" fillId="2" fontId="9" numFmtId="0" xfId="0" applyAlignment="1" applyBorder="1" applyFill="1" applyFont="1">
      <alignment readingOrder="0" shrinkToFit="0" wrapText="1"/>
    </xf>
    <xf borderId="4" fillId="0" fontId="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vertical="center"/>
    </xf>
    <xf borderId="3" fillId="2" fontId="15" numFmtId="0" xfId="0" applyAlignment="1" applyBorder="1" applyFill="1" applyFont="1">
      <alignment horizontal="center" readingOrder="0" vertical="bottom"/>
    </xf>
    <xf borderId="4" fillId="0" fontId="6" numFmtId="0" xfId="0" applyAlignment="1" applyBorder="1" applyFont="1">
      <alignment horizontal="left" readingOrder="0" vertical="center"/>
    </xf>
    <xf borderId="0" fillId="0" fontId="21" numFmtId="0" xfId="0" applyAlignment="1" applyFont="1">
      <alignment vertical="center"/>
    </xf>
    <xf borderId="4" fillId="5" fontId="5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left"/>
    </xf>
    <xf borderId="4" fillId="0" fontId="14" numFmtId="0" xfId="0" applyAlignment="1" applyBorder="1" applyFont="1">
      <alignment horizontal="center" readingOrder="0"/>
    </xf>
    <xf borderId="4" fillId="6" fontId="14" numFmtId="0" xfId="0" applyAlignment="1" applyBorder="1" applyFill="1" applyFont="1">
      <alignment horizontal="center" readingOrder="0"/>
    </xf>
    <xf borderId="4" fillId="0" fontId="12" numFmtId="0" xfId="0" applyBorder="1" applyFont="1"/>
    <xf borderId="4" fillId="0" fontId="12" numFmtId="0" xfId="0" applyAlignment="1" applyBorder="1" applyFont="1">
      <alignment horizontal="center"/>
    </xf>
    <xf borderId="4" fillId="0" fontId="10" numFmtId="0" xfId="0" applyAlignment="1" applyBorder="1" applyFont="1">
      <alignment shrinkToFit="0" wrapText="1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0" fillId="6" fontId="5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left"/>
    </xf>
    <xf borderId="0" fillId="6" fontId="6" numFmtId="0" xfId="0" applyAlignment="1" applyFill="1" applyFont="1">
      <alignment horizontal="center"/>
    </xf>
    <xf borderId="0" fillId="6" fontId="12" numFmtId="0" xfId="0" applyFill="1" applyFont="1"/>
    <xf borderId="0" fillId="6" fontId="12" numFmtId="0" xfId="0" applyAlignment="1" applyFill="1" applyFont="1">
      <alignment horizontal="center"/>
    </xf>
    <xf borderId="0" fillId="6" fontId="10" numFmtId="0" xfId="0" applyAlignment="1" applyFill="1" applyFont="1">
      <alignment shrinkToFit="0" wrapText="1"/>
    </xf>
    <xf borderId="0" fillId="8" fontId="22" numFmtId="0" xfId="0" applyAlignment="1" applyFill="1" applyFont="1">
      <alignment horizontal="left" readingOrder="0"/>
    </xf>
    <xf borderId="0" fillId="8" fontId="22" numFmtId="0" xfId="0" applyAlignment="1" applyFill="1" applyFont="1">
      <alignment horizontal="center"/>
    </xf>
    <xf borderId="0" fillId="0" fontId="21" numFmtId="0" xfId="0" applyAlignment="1" applyFont="1">
      <alignment horizontal="center"/>
    </xf>
    <xf borderId="0" fillId="0" fontId="23" numFmtId="0" xfId="0" applyAlignment="1" applyFont="1">
      <alignment shrinkToFit="0" wrapText="1"/>
    </xf>
    <xf borderId="0" fillId="9" fontId="22" numFmtId="0" xfId="0" applyAlignment="1" applyFill="1" applyFont="1">
      <alignment horizontal="center" readingOrder="0" vertical="center"/>
    </xf>
    <xf borderId="0" fillId="4" fontId="22" numFmtId="0" xfId="0" applyAlignment="1" applyFill="1" applyFont="1">
      <alignment horizontal="center" vertical="center"/>
    </xf>
    <xf borderId="0" fillId="0" fontId="24" numFmtId="0" xfId="0" applyAlignment="1" applyFont="1">
      <alignment horizontal="center"/>
    </xf>
    <xf borderId="0" fillId="0" fontId="23" numFmtId="0" xfId="0" applyFont="1"/>
    <xf borderId="4" fillId="3" fontId="22" numFmtId="0" xfId="0" applyAlignment="1" applyBorder="1" applyFill="1" applyFont="1">
      <alignment horizontal="center" readingOrder="0" vertical="center"/>
    </xf>
    <xf borderId="4" fillId="3" fontId="25" numFmtId="0" xfId="0" applyAlignment="1" applyBorder="1" applyFill="1" applyFont="1">
      <alignment horizontal="center" readingOrder="0" vertical="center"/>
    </xf>
    <xf borderId="1" fillId="3" fontId="26" numFmtId="0" xfId="0" applyAlignment="1" applyBorder="1" applyFill="1" applyFont="1">
      <alignment horizontal="center" readingOrder="0" shrinkToFit="0" vertical="center" wrapText="1"/>
    </xf>
    <xf borderId="4" fillId="10" fontId="27" numFmtId="0" xfId="0" applyAlignment="1" applyBorder="1" applyFill="1" applyFont="1">
      <alignment horizontal="center" readingOrder="0" vertical="center"/>
    </xf>
    <xf borderId="4" fillId="0" fontId="28" numFmtId="0" xfId="0" applyAlignment="1" applyBorder="1" applyFont="1">
      <alignment horizontal="center" vertical="center"/>
    </xf>
    <xf borderId="4" fillId="0" fontId="28" numFmtId="0" xfId="0" applyAlignment="1" applyBorder="1" applyFont="1">
      <alignment horizontal="right" vertical="center"/>
    </xf>
    <xf borderId="4" fillId="0" fontId="29" numFmtId="0" xfId="0" applyAlignment="1" applyBorder="1" applyFont="1">
      <alignment horizontal="center" readingOrder="0" vertical="center"/>
    </xf>
    <xf borderId="4" fillId="6" fontId="29" numFmtId="0" xfId="0" applyAlignment="1" applyBorder="1" applyFill="1" applyFont="1">
      <alignment horizontal="center" readingOrder="0" vertical="center"/>
    </xf>
    <xf borderId="1" fillId="6" fontId="28" numFmtId="0" xfId="0" applyAlignment="1" applyBorder="1" applyFill="1" applyFont="1">
      <alignment horizontal="center" shrinkToFit="0" vertical="center" wrapText="1"/>
    </xf>
    <xf borderId="1" fillId="2" fontId="30" numFmtId="0" xfId="0" applyAlignment="1" applyBorder="1" applyFill="1" applyFont="1">
      <alignment horizontal="center" shrinkToFit="0" vertical="center" wrapText="1"/>
    </xf>
    <xf borderId="4" fillId="11" fontId="27" numFmtId="0" xfId="0" applyAlignment="1" applyBorder="1" applyFill="1" applyFont="1">
      <alignment horizontal="center" readingOrder="0" vertical="center"/>
    </xf>
    <xf borderId="4" fillId="2" fontId="31" numFmtId="0" xfId="0" applyAlignment="1" applyBorder="1" applyFill="1" applyFont="1">
      <alignment horizontal="center" readingOrder="0" shrinkToFit="0" vertical="center" wrapText="1"/>
    </xf>
    <xf borderId="4" fillId="2" fontId="32" numFmtId="0" xfId="0" applyAlignment="1" applyBorder="1" applyFill="1" applyFont="1">
      <alignment horizontal="center" vertical="center"/>
    </xf>
    <xf borderId="4" fillId="2" fontId="33" numFmtId="0" xfId="0" applyAlignment="1" applyBorder="1" applyFill="1" applyFont="1">
      <alignment horizontal="center" vertical="center"/>
    </xf>
    <xf borderId="4" fillId="2" fontId="33" numFmtId="0" xfId="0" applyAlignment="1" applyBorder="1" applyFill="1" applyFont="1">
      <alignment horizontal="center" readingOrder="0" vertical="center"/>
    </xf>
    <xf borderId="4" fillId="2" fontId="32" numFmtId="0" xfId="0" applyAlignment="1" applyBorder="1" applyFill="1" applyFont="1">
      <alignment horizontal="center" readingOrder="0" vertical="center"/>
    </xf>
    <xf borderId="1" fillId="2" fontId="32" numFmtId="0" xfId="0" applyAlignment="1" applyBorder="1" applyFill="1" applyFont="1">
      <alignment horizontal="center" shrinkToFit="0" vertical="center" wrapText="1"/>
    </xf>
    <xf borderId="1" fillId="12" fontId="22" numFmtId="0" xfId="0" applyAlignment="1" applyBorder="1" applyFill="1" applyFont="1">
      <alignment horizontal="center" shrinkToFit="0" vertical="center" wrapText="1"/>
    </xf>
    <xf borderId="0" fillId="13" fontId="34" numFmtId="0" xfId="0" applyAlignment="1" applyFill="1" applyFont="1">
      <alignment readingOrder="0" vertical="center"/>
    </xf>
    <xf borderId="0" fillId="14" fontId="35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3" max="3" width="14.38"/>
    <col customWidth="1" min="7" max="7" width="16.13"/>
    <col customWidth="1" min="10" max="10" width="37.75"/>
    <col customWidth="1" min="11" max="11" width="15.38"/>
    <col customWidth="1" min="13" max="13" width="14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</row>
    <row r="3">
      <c r="A3" s="7" t="s">
        <v>11</v>
      </c>
      <c r="B3" s="8" t="s">
        <v>12</v>
      </c>
      <c r="C3" s="9">
        <v>5.0</v>
      </c>
      <c r="D3" s="10">
        <v>2500.0</v>
      </c>
      <c r="E3" s="11" t="s">
        <v>13</v>
      </c>
      <c r="F3" s="12" t="s">
        <v>14</v>
      </c>
      <c r="G3" s="13">
        <v>45606.0</v>
      </c>
      <c r="H3" s="14">
        <v>0.0</v>
      </c>
      <c r="I3" s="15">
        <v>0.0</v>
      </c>
      <c r="J3" s="16"/>
    </row>
    <row r="4">
      <c r="A4" s="7" t="s">
        <v>15</v>
      </c>
      <c r="B4" s="8" t="s">
        <v>16</v>
      </c>
      <c r="C4" s="9">
        <v>3.0</v>
      </c>
      <c r="D4" s="10">
        <v>1500.0</v>
      </c>
      <c r="E4" s="11" t="s">
        <v>13</v>
      </c>
      <c r="F4" s="12" t="s">
        <v>14</v>
      </c>
      <c r="G4" s="13">
        <v>45602.0</v>
      </c>
      <c r="H4" s="14">
        <v>0.0</v>
      </c>
      <c r="I4" s="14">
        <v>0.0</v>
      </c>
      <c r="J4" s="17"/>
    </row>
    <row r="5">
      <c r="A5" s="7" t="s">
        <v>17</v>
      </c>
      <c r="B5" s="8" t="s">
        <v>18</v>
      </c>
      <c r="C5" s="9">
        <v>2.0</v>
      </c>
      <c r="D5" s="10">
        <v>1000.0</v>
      </c>
      <c r="E5" s="11" t="s">
        <v>13</v>
      </c>
      <c r="F5" s="12" t="s">
        <v>14</v>
      </c>
      <c r="G5" s="13">
        <v>45606.0</v>
      </c>
      <c r="H5" s="14">
        <v>0.0</v>
      </c>
      <c r="I5" s="14">
        <v>0.0</v>
      </c>
      <c r="J5" s="18"/>
    </row>
    <row r="6">
      <c r="A6" s="7" t="s">
        <v>19</v>
      </c>
      <c r="B6" s="8" t="s">
        <v>20</v>
      </c>
      <c r="C6" s="9">
        <v>4.0</v>
      </c>
      <c r="D6" s="19">
        <v>2000.0</v>
      </c>
      <c r="E6" s="19" t="s">
        <v>21</v>
      </c>
      <c r="F6" s="19" t="s">
        <v>22</v>
      </c>
      <c r="G6" s="20">
        <v>45611.0</v>
      </c>
      <c r="H6" s="21"/>
      <c r="I6" s="22"/>
      <c r="J6" s="18"/>
    </row>
    <row r="7">
      <c r="A7" s="7" t="s">
        <v>23</v>
      </c>
      <c r="B7" s="8" t="s">
        <v>24</v>
      </c>
      <c r="C7" s="9">
        <v>2.0</v>
      </c>
      <c r="D7" s="10">
        <v>1000.0</v>
      </c>
      <c r="E7" s="11" t="s">
        <v>13</v>
      </c>
      <c r="F7" s="12" t="s">
        <v>14</v>
      </c>
      <c r="G7" s="13">
        <v>45611.0</v>
      </c>
      <c r="H7" s="14">
        <v>0.0</v>
      </c>
      <c r="I7" s="14">
        <v>0.0</v>
      </c>
      <c r="J7" s="23" t="s">
        <v>25</v>
      </c>
    </row>
    <row r="8">
      <c r="A8" s="7" t="s">
        <v>26</v>
      </c>
      <c r="B8" s="8" t="s">
        <v>27</v>
      </c>
      <c r="C8" s="24">
        <v>1.0</v>
      </c>
      <c r="D8" s="10">
        <v>500.0</v>
      </c>
      <c r="E8" s="11" t="s">
        <v>28</v>
      </c>
      <c r="F8" s="12" t="s">
        <v>14</v>
      </c>
      <c r="G8" s="13">
        <v>45612.0</v>
      </c>
      <c r="H8" s="25">
        <v>10.0</v>
      </c>
      <c r="I8" s="15">
        <v>0.0</v>
      </c>
      <c r="J8" s="26" t="s">
        <v>29</v>
      </c>
    </row>
    <row r="9">
      <c r="A9" s="7" t="s">
        <v>30</v>
      </c>
      <c r="B9" s="27" t="s">
        <v>31</v>
      </c>
      <c r="C9" s="28">
        <v>1.0</v>
      </c>
      <c r="D9" s="22"/>
      <c r="E9" s="22"/>
      <c r="F9" s="22"/>
      <c r="G9" s="22"/>
      <c r="H9" s="21"/>
      <c r="I9" s="22"/>
      <c r="J9" s="29"/>
    </row>
    <row r="10">
      <c r="A10" s="7" t="s">
        <v>32</v>
      </c>
      <c r="B10" s="30" t="s">
        <v>33</v>
      </c>
      <c r="C10" s="9">
        <v>1.0</v>
      </c>
      <c r="D10" s="10">
        <v>510.0</v>
      </c>
      <c r="E10" s="11" t="s">
        <v>28</v>
      </c>
      <c r="F10" s="31" t="s">
        <v>14</v>
      </c>
      <c r="G10" s="13">
        <v>45611.0</v>
      </c>
      <c r="H10" s="32">
        <v>0.0</v>
      </c>
      <c r="I10" s="11">
        <v>10.0</v>
      </c>
      <c r="J10" s="33" t="s">
        <v>34</v>
      </c>
    </row>
    <row r="11">
      <c r="A11" s="7" t="s">
        <v>35</v>
      </c>
      <c r="B11" s="30" t="s">
        <v>36</v>
      </c>
      <c r="C11" s="9">
        <v>1.0</v>
      </c>
      <c r="D11" s="34">
        <v>500.0</v>
      </c>
      <c r="E11" s="35" t="s">
        <v>28</v>
      </c>
      <c r="F11" s="36" t="s">
        <v>14</v>
      </c>
      <c r="G11" s="37">
        <v>45610.0</v>
      </c>
      <c r="H11" s="32">
        <v>0.0</v>
      </c>
      <c r="I11" s="32">
        <v>0.0</v>
      </c>
      <c r="J11" s="18"/>
    </row>
    <row r="12">
      <c r="A12" s="7" t="s">
        <v>37</v>
      </c>
      <c r="B12" s="30" t="s">
        <v>38</v>
      </c>
      <c r="C12" s="9">
        <v>1.0</v>
      </c>
      <c r="D12" s="34">
        <v>500.0</v>
      </c>
      <c r="E12" s="35" t="s">
        <v>28</v>
      </c>
      <c r="F12" s="36" t="s">
        <v>14</v>
      </c>
      <c r="G12" s="37">
        <v>45600.0</v>
      </c>
      <c r="H12" s="32">
        <v>0.0</v>
      </c>
      <c r="I12" s="32">
        <v>0.0</v>
      </c>
      <c r="J12" s="18"/>
    </row>
    <row r="13">
      <c r="A13" s="7" t="s">
        <v>39</v>
      </c>
      <c r="B13" s="30" t="s">
        <v>40</v>
      </c>
      <c r="C13" s="9">
        <v>2.0</v>
      </c>
      <c r="D13" s="38"/>
      <c r="E13" s="39"/>
      <c r="F13" s="39"/>
      <c r="G13" s="40"/>
      <c r="H13" s="41">
        <v>1040.0</v>
      </c>
      <c r="I13" s="41">
        <v>40.0</v>
      </c>
      <c r="J13" s="42" t="s">
        <v>41</v>
      </c>
    </row>
    <row r="14">
      <c r="A14" s="7" t="s">
        <v>42</v>
      </c>
      <c r="B14" s="30" t="s">
        <v>43</v>
      </c>
      <c r="C14" s="9">
        <v>2.0</v>
      </c>
      <c r="D14" s="43"/>
      <c r="E14" s="43"/>
      <c r="F14" s="43"/>
      <c r="G14" s="44"/>
      <c r="H14" s="45">
        <v>1010.0</v>
      </c>
      <c r="I14" s="45">
        <v>40.0</v>
      </c>
      <c r="J14" s="42" t="s">
        <v>44</v>
      </c>
    </row>
    <row r="15">
      <c r="A15" s="7" t="s">
        <v>45</v>
      </c>
      <c r="B15" s="46" t="s">
        <v>46</v>
      </c>
      <c r="C15" s="47">
        <v>2.0</v>
      </c>
      <c r="D15" s="10">
        <v>1000.0</v>
      </c>
      <c r="E15" s="11" t="s">
        <v>28</v>
      </c>
      <c r="F15" s="31" t="s">
        <v>14</v>
      </c>
      <c r="G15" s="13">
        <v>45612.0</v>
      </c>
      <c r="H15" s="48">
        <v>40.0</v>
      </c>
      <c r="I15" s="48">
        <v>40.0</v>
      </c>
      <c r="J15" s="49" t="s">
        <v>47</v>
      </c>
    </row>
    <row r="16">
      <c r="A16" s="7" t="s">
        <v>48</v>
      </c>
      <c r="B16" s="30" t="s">
        <v>49</v>
      </c>
      <c r="C16" s="9">
        <v>6.0</v>
      </c>
      <c r="D16" s="10">
        <v>3000.0</v>
      </c>
      <c r="E16" s="11" t="s">
        <v>13</v>
      </c>
      <c r="F16" s="12" t="s">
        <v>14</v>
      </c>
      <c r="G16" s="13">
        <v>45600.0</v>
      </c>
      <c r="H16" s="14">
        <v>0.0</v>
      </c>
      <c r="I16" s="14">
        <v>0.0</v>
      </c>
      <c r="J16" s="18"/>
    </row>
    <row r="17">
      <c r="A17" s="7" t="s">
        <v>50</v>
      </c>
      <c r="B17" s="30" t="s">
        <v>51</v>
      </c>
      <c r="C17" s="9">
        <v>1.0</v>
      </c>
      <c r="D17" s="19"/>
      <c r="E17" s="19"/>
      <c r="F17" s="19"/>
      <c r="G17" s="50"/>
      <c r="H17" s="45">
        <v>2580.0</v>
      </c>
      <c r="I17" s="45">
        <v>80.0</v>
      </c>
      <c r="J17" s="42" t="s">
        <v>52</v>
      </c>
    </row>
    <row r="18">
      <c r="A18" s="7" t="s">
        <v>53</v>
      </c>
      <c r="B18" s="30" t="s">
        <v>54</v>
      </c>
      <c r="C18" s="9">
        <v>1.0</v>
      </c>
      <c r="D18" s="51">
        <v>1000.0</v>
      </c>
      <c r="E18" s="52" t="s">
        <v>13</v>
      </c>
      <c r="F18" s="52" t="s">
        <v>14</v>
      </c>
      <c r="G18" s="37">
        <v>45602.0</v>
      </c>
      <c r="H18" s="53">
        <v>0.0</v>
      </c>
      <c r="I18" s="53">
        <v>0.0</v>
      </c>
      <c r="J18" s="54" t="s">
        <v>55</v>
      </c>
    </row>
    <row r="19">
      <c r="A19" s="7" t="s">
        <v>56</v>
      </c>
      <c r="B19" s="30" t="s">
        <v>57</v>
      </c>
      <c r="C19" s="9">
        <v>4.0</v>
      </c>
      <c r="D19" s="19">
        <v>2000.0</v>
      </c>
      <c r="E19" s="19" t="s">
        <v>21</v>
      </c>
      <c r="F19" s="19" t="s">
        <v>22</v>
      </c>
      <c r="G19" s="50">
        <v>45609.0</v>
      </c>
      <c r="H19" s="45"/>
      <c r="I19" s="45"/>
      <c r="J19" s="42"/>
    </row>
    <row r="20">
      <c r="A20" s="7" t="s">
        <v>58</v>
      </c>
      <c r="B20" s="30" t="s">
        <v>59</v>
      </c>
      <c r="C20" s="9">
        <v>2.0</v>
      </c>
      <c r="D20" s="10">
        <v>1000.0</v>
      </c>
      <c r="E20" s="11" t="s">
        <v>13</v>
      </c>
      <c r="F20" s="31" t="s">
        <v>14</v>
      </c>
      <c r="G20" s="13">
        <v>45606.0</v>
      </c>
      <c r="H20" s="15">
        <v>0.0</v>
      </c>
      <c r="I20" s="15">
        <v>0.0</v>
      </c>
      <c r="J20" s="55" t="s">
        <v>60</v>
      </c>
    </row>
    <row r="21">
      <c r="A21" s="7" t="s">
        <v>61</v>
      </c>
      <c r="B21" s="30" t="s">
        <v>62</v>
      </c>
      <c r="C21" s="9">
        <v>2.0</v>
      </c>
      <c r="D21" s="10">
        <v>1000.0</v>
      </c>
      <c r="E21" s="11" t="s">
        <v>13</v>
      </c>
      <c r="F21" s="31" t="s">
        <v>14</v>
      </c>
      <c r="G21" s="13">
        <v>45606.0</v>
      </c>
      <c r="H21" s="48">
        <v>40.0</v>
      </c>
      <c r="I21" s="48">
        <v>40.0</v>
      </c>
      <c r="J21" s="49" t="s">
        <v>63</v>
      </c>
    </row>
    <row r="22">
      <c r="A22" s="7" t="s">
        <v>64</v>
      </c>
      <c r="B22" s="30" t="s">
        <v>65</v>
      </c>
      <c r="C22" s="9">
        <v>1.0</v>
      </c>
      <c r="D22" s="19"/>
      <c r="E22" s="19"/>
      <c r="F22" s="19"/>
      <c r="G22" s="50"/>
      <c r="H22" s="48">
        <v>3120.0</v>
      </c>
      <c r="I22" s="48">
        <v>120.0</v>
      </c>
      <c r="J22" s="49" t="s">
        <v>66</v>
      </c>
    </row>
    <row r="23">
      <c r="A23" s="7" t="s">
        <v>67</v>
      </c>
      <c r="B23" s="30" t="s">
        <v>68</v>
      </c>
      <c r="C23" s="9">
        <v>2.0</v>
      </c>
      <c r="D23" s="22"/>
      <c r="E23" s="22"/>
      <c r="F23" s="22"/>
      <c r="G23" s="22"/>
      <c r="H23" s="45">
        <v>1040.0</v>
      </c>
      <c r="I23" s="45">
        <v>40.0</v>
      </c>
      <c r="J23" s="56" t="s">
        <v>69</v>
      </c>
    </row>
    <row r="24">
      <c r="A24" s="7" t="s">
        <v>70</v>
      </c>
      <c r="B24" s="30" t="s">
        <v>71</v>
      </c>
      <c r="C24" s="9">
        <v>2.0</v>
      </c>
      <c r="D24" s="22"/>
      <c r="E24" s="22"/>
      <c r="F24" s="22"/>
      <c r="G24" s="22"/>
      <c r="H24" s="48">
        <v>7240.0</v>
      </c>
      <c r="I24" s="48">
        <v>240.0</v>
      </c>
      <c r="J24" s="57" t="s">
        <v>72</v>
      </c>
    </row>
    <row r="25">
      <c r="A25" s="7" t="s">
        <v>73</v>
      </c>
      <c r="B25" s="30" t="s">
        <v>74</v>
      </c>
      <c r="C25" s="47">
        <v>2.0</v>
      </c>
      <c r="D25" s="22"/>
      <c r="E25" s="22"/>
      <c r="F25" s="22"/>
      <c r="G25" s="22"/>
      <c r="H25" s="48">
        <v>6210.0</v>
      </c>
      <c r="I25" s="48">
        <v>210.0</v>
      </c>
      <c r="J25" s="57" t="s">
        <v>75</v>
      </c>
    </row>
    <row r="26">
      <c r="A26" s="7" t="s">
        <v>76</v>
      </c>
      <c r="B26" s="58" t="s">
        <v>77</v>
      </c>
      <c r="C26" s="24">
        <v>1.0</v>
      </c>
      <c r="D26" s="59"/>
      <c r="E26" s="35"/>
      <c r="F26" s="52"/>
      <c r="G26" s="60"/>
      <c r="H26" s="61">
        <v>520.0</v>
      </c>
      <c r="I26" s="61">
        <v>20.0</v>
      </c>
      <c r="J26" s="42" t="s">
        <v>69</v>
      </c>
    </row>
    <row r="27">
      <c r="A27" s="7" t="s">
        <v>78</v>
      </c>
      <c r="B27" s="46" t="s">
        <v>79</v>
      </c>
      <c r="C27" s="62">
        <v>2.0</v>
      </c>
      <c r="D27" s="63"/>
      <c r="E27" s="63"/>
      <c r="F27" s="63"/>
      <c r="G27" s="64"/>
      <c r="H27" s="48">
        <v>3190.0</v>
      </c>
      <c r="I27" s="48">
        <v>190.0</v>
      </c>
      <c r="J27" s="49" t="s">
        <v>80</v>
      </c>
    </row>
    <row r="28">
      <c r="A28" s="7" t="s">
        <v>81</v>
      </c>
      <c r="B28" s="30" t="s">
        <v>82</v>
      </c>
      <c r="C28" s="9">
        <v>1.0</v>
      </c>
      <c r="D28" s="65">
        <v>500.0</v>
      </c>
      <c r="E28" s="63" t="s">
        <v>13</v>
      </c>
      <c r="F28" s="63" t="s">
        <v>14</v>
      </c>
      <c r="G28" s="66">
        <v>45607.0</v>
      </c>
      <c r="H28" s="14">
        <v>0.0</v>
      </c>
      <c r="I28" s="14">
        <v>0.0</v>
      </c>
      <c r="J28" s="18"/>
    </row>
    <row r="29">
      <c r="A29" s="7" t="s">
        <v>83</v>
      </c>
      <c r="B29" s="30" t="s">
        <v>84</v>
      </c>
      <c r="C29" s="47">
        <v>2.0</v>
      </c>
      <c r="D29" s="22"/>
      <c r="E29" s="22"/>
      <c r="F29" s="22"/>
      <c r="G29" s="22"/>
      <c r="H29" s="48">
        <v>6200.0</v>
      </c>
      <c r="I29" s="48">
        <v>200.0</v>
      </c>
      <c r="J29" s="49" t="s">
        <v>85</v>
      </c>
    </row>
    <row r="30">
      <c r="A30" s="7" t="s">
        <v>86</v>
      </c>
      <c r="B30" s="30" t="s">
        <v>87</v>
      </c>
      <c r="C30" s="9">
        <v>2.0</v>
      </c>
      <c r="D30" s="10">
        <v>2000.0</v>
      </c>
      <c r="E30" s="10" t="s">
        <v>13</v>
      </c>
      <c r="F30" s="10" t="s">
        <v>14</v>
      </c>
      <c r="G30" s="67">
        <v>45603.0</v>
      </c>
      <c r="H30" s="68">
        <v>0.0</v>
      </c>
      <c r="I30" s="14">
        <v>0.0</v>
      </c>
      <c r="J30" s="69" t="s">
        <v>88</v>
      </c>
    </row>
    <row r="31">
      <c r="A31" s="7" t="s">
        <v>89</v>
      </c>
      <c r="B31" s="30" t="s">
        <v>90</v>
      </c>
      <c r="C31" s="9">
        <v>1.0</v>
      </c>
      <c r="D31" s="65">
        <v>500.0</v>
      </c>
      <c r="E31" s="11" t="s">
        <v>13</v>
      </c>
      <c r="F31" s="12" t="s">
        <v>14</v>
      </c>
      <c r="G31" s="13">
        <v>45603.0</v>
      </c>
      <c r="H31" s="14">
        <v>0.0</v>
      </c>
      <c r="I31" s="14">
        <v>0.0</v>
      </c>
      <c r="J31" s="70"/>
    </row>
    <row r="32">
      <c r="A32" s="7" t="s">
        <v>91</v>
      </c>
      <c r="B32" s="30" t="s">
        <v>92</v>
      </c>
      <c r="C32" s="24">
        <v>2.0</v>
      </c>
      <c r="D32" s="63"/>
      <c r="E32" s="63"/>
      <c r="F32" s="63"/>
      <c r="G32" s="64"/>
      <c r="H32" s="71">
        <v>1040.0</v>
      </c>
      <c r="I32" s="71">
        <v>40.0</v>
      </c>
      <c r="J32" s="72" t="s">
        <v>93</v>
      </c>
    </row>
    <row r="33">
      <c r="A33" s="7" t="s">
        <v>94</v>
      </c>
      <c r="B33" s="30" t="s">
        <v>95</v>
      </c>
      <c r="C33" s="24">
        <v>1.0</v>
      </c>
      <c r="D33" s="63">
        <v>2000.0</v>
      </c>
      <c r="E33" s="73" t="s">
        <v>28</v>
      </c>
      <c r="F33" s="73" t="s">
        <v>14</v>
      </c>
      <c r="G33" s="66">
        <v>45614.0</v>
      </c>
      <c r="H33" s="74">
        <v>0.0</v>
      </c>
      <c r="I33" s="74">
        <v>0.0</v>
      </c>
      <c r="J33" s="69" t="s">
        <v>96</v>
      </c>
    </row>
    <row r="34">
      <c r="A34" s="7" t="s">
        <v>97</v>
      </c>
      <c r="B34" s="46" t="s">
        <v>98</v>
      </c>
      <c r="C34" s="24">
        <v>2.0</v>
      </c>
      <c r="D34" s="22"/>
      <c r="E34" s="22"/>
      <c r="F34" s="22"/>
      <c r="G34" s="22"/>
      <c r="H34" s="75">
        <v>9320.0</v>
      </c>
      <c r="I34" s="75">
        <v>320.0</v>
      </c>
      <c r="J34" s="49" t="s">
        <v>99</v>
      </c>
    </row>
    <row r="35">
      <c r="A35" s="7" t="s">
        <v>100</v>
      </c>
      <c r="B35" s="46" t="s">
        <v>101</v>
      </c>
      <c r="C35" s="24">
        <v>2.0</v>
      </c>
      <c r="D35" s="59"/>
      <c r="E35" s="35"/>
      <c r="F35" s="36"/>
      <c r="G35" s="60"/>
      <c r="H35" s="71">
        <v>1100.0</v>
      </c>
      <c r="I35" s="71">
        <v>100.0</v>
      </c>
      <c r="J35" s="49" t="s">
        <v>102</v>
      </c>
    </row>
    <row r="36">
      <c r="A36" s="7" t="s">
        <v>103</v>
      </c>
      <c r="B36" s="76" t="s">
        <v>104</v>
      </c>
      <c r="C36" s="24">
        <v>6.0</v>
      </c>
      <c r="D36" s="10">
        <v>3000.0</v>
      </c>
      <c r="E36" s="11" t="s">
        <v>28</v>
      </c>
      <c r="F36" s="12" t="s">
        <v>14</v>
      </c>
      <c r="G36" s="13">
        <v>45609.0</v>
      </c>
      <c r="H36" s="25">
        <v>15000.0</v>
      </c>
      <c r="I36" s="14">
        <v>0.0</v>
      </c>
      <c r="J36" s="26" t="s">
        <v>105</v>
      </c>
    </row>
    <row r="37">
      <c r="A37" s="7" t="s">
        <v>106</v>
      </c>
      <c r="B37" s="76" t="s">
        <v>107</v>
      </c>
      <c r="C37" s="62">
        <v>1.0</v>
      </c>
      <c r="D37" s="10" t="s">
        <v>108</v>
      </c>
      <c r="E37" s="11" t="s">
        <v>13</v>
      </c>
      <c r="F37" s="12" t="s">
        <v>14</v>
      </c>
      <c r="G37" s="13">
        <v>45572.0</v>
      </c>
      <c r="H37" s="14">
        <v>0.0</v>
      </c>
      <c r="I37" s="14">
        <v>0.0</v>
      </c>
      <c r="J37" s="23" t="s">
        <v>109</v>
      </c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</row>
    <row r="38">
      <c r="A38" s="78" t="s">
        <v>110</v>
      </c>
      <c r="B38" s="79"/>
      <c r="C38" s="80"/>
      <c r="D38" s="22"/>
      <c r="E38" s="22"/>
      <c r="F38" s="22"/>
      <c r="G38" s="22"/>
      <c r="H38" s="21"/>
      <c r="I38" s="22"/>
      <c r="J38" s="18"/>
    </row>
    <row r="39">
      <c r="A39" s="78" t="s">
        <v>111</v>
      </c>
      <c r="B39" s="79"/>
      <c r="C39" s="81"/>
      <c r="D39" s="82"/>
      <c r="E39" s="82"/>
      <c r="F39" s="82"/>
      <c r="G39" s="82"/>
      <c r="H39" s="83"/>
      <c r="I39" s="82"/>
      <c r="J39" s="84"/>
    </row>
    <row r="40">
      <c r="A40" s="78" t="s">
        <v>112</v>
      </c>
      <c r="B40" s="79"/>
      <c r="C40" s="85"/>
      <c r="D40" s="82"/>
      <c r="E40" s="82"/>
      <c r="F40" s="82"/>
      <c r="G40" s="82"/>
      <c r="H40" s="83"/>
      <c r="I40" s="82"/>
      <c r="J40" s="84"/>
    </row>
    <row r="41">
      <c r="A41" s="78" t="s">
        <v>113</v>
      </c>
      <c r="B41" s="79"/>
      <c r="C41" s="86"/>
      <c r="D41" s="82"/>
      <c r="E41" s="82"/>
      <c r="F41" s="82"/>
      <c r="G41" s="82"/>
      <c r="H41" s="83"/>
      <c r="I41" s="82"/>
      <c r="J41" s="84"/>
    </row>
    <row r="42">
      <c r="A42" s="78" t="s">
        <v>114</v>
      </c>
      <c r="B42" s="79"/>
      <c r="C42" s="86"/>
      <c r="D42" s="82"/>
      <c r="E42" s="82"/>
      <c r="F42" s="82"/>
      <c r="G42" s="82"/>
      <c r="H42" s="83"/>
      <c r="I42" s="82"/>
      <c r="J42" s="84"/>
    </row>
    <row r="43">
      <c r="A43" s="87"/>
      <c r="B43" s="88"/>
      <c r="C43" s="89"/>
      <c r="D43" s="90"/>
      <c r="E43" s="90"/>
      <c r="F43" s="90"/>
      <c r="G43" s="90"/>
      <c r="H43" s="91"/>
      <c r="I43" s="90"/>
      <c r="J43" s="92"/>
    </row>
    <row r="44">
      <c r="A44" s="87"/>
      <c r="B44" s="93" t="s">
        <v>115</v>
      </c>
      <c r="C44" s="94">
        <f>SUM(C3:C40)</f>
        <v>73</v>
      </c>
      <c r="H44" s="95"/>
      <c r="J44" s="96"/>
    </row>
    <row r="45">
      <c r="A45" s="87"/>
      <c r="H45" s="95"/>
      <c r="J45" s="96"/>
    </row>
    <row r="46">
      <c r="A46" s="87"/>
      <c r="B46" s="97" t="s">
        <v>116</v>
      </c>
      <c r="D46" s="98">
        <f>SUM(D3:D42)</f>
        <v>27010</v>
      </c>
      <c r="H46" s="95"/>
      <c r="J46" s="96"/>
    </row>
    <row r="47">
      <c r="A47" s="87"/>
      <c r="H47" s="95"/>
      <c r="J47" s="96"/>
    </row>
    <row r="48">
      <c r="A48" s="87"/>
      <c r="H48" s="95"/>
      <c r="J48" s="96"/>
    </row>
    <row r="49">
      <c r="A49" s="99"/>
      <c r="H49" s="95"/>
      <c r="J49" s="96"/>
    </row>
    <row r="50">
      <c r="H50" s="95"/>
      <c r="J50" s="100"/>
    </row>
    <row r="51">
      <c r="B51" s="101" t="s">
        <v>117</v>
      </c>
      <c r="C51" s="102" t="s">
        <v>118</v>
      </c>
      <c r="D51" s="102" t="s">
        <v>119</v>
      </c>
      <c r="E51" s="102" t="s">
        <v>120</v>
      </c>
      <c r="F51" s="102" t="s">
        <v>121</v>
      </c>
      <c r="G51" s="102" t="s">
        <v>122</v>
      </c>
      <c r="H51" s="102" t="s">
        <v>123</v>
      </c>
      <c r="I51" s="102" t="s">
        <v>124</v>
      </c>
      <c r="J51" s="102" t="s">
        <v>125</v>
      </c>
      <c r="K51" s="102" t="s">
        <v>126</v>
      </c>
      <c r="L51" s="102" t="s">
        <v>127</v>
      </c>
      <c r="M51" s="102" t="s">
        <v>128</v>
      </c>
      <c r="N51" s="103" t="s">
        <v>129</v>
      </c>
    </row>
    <row r="52">
      <c r="B52" s="104" t="s">
        <v>130</v>
      </c>
      <c r="C52" s="105">
        <v>25000.0</v>
      </c>
      <c r="D52" s="105">
        <v>18500.0</v>
      </c>
      <c r="E52" s="105">
        <v>20540.0</v>
      </c>
      <c r="F52" s="106">
        <v>19700.0</v>
      </c>
      <c r="G52" s="107">
        <v>23100.0</v>
      </c>
      <c r="H52" s="108">
        <v>21560.0</v>
      </c>
      <c r="I52" s="108">
        <v>19040.0</v>
      </c>
      <c r="J52" s="108">
        <v>29790.0</v>
      </c>
      <c r="K52" s="108">
        <v>20170.0</v>
      </c>
      <c r="L52" s="108">
        <v>31340.0</v>
      </c>
      <c r="M52" s="109">
        <f>SUM(D3:D5,D7:D8,D10:D12,D15:D16,D18,D20:D21,D28,D30:D31,D33,D36:D37)</f>
        <v>23010</v>
      </c>
      <c r="N52" s="110">
        <f t="shared" ref="N52:N53" si="1">SUM(C52:M52)</f>
        <v>251750</v>
      </c>
    </row>
    <row r="53">
      <c r="B53" s="111" t="s">
        <v>22</v>
      </c>
      <c r="C53" s="105">
        <v>10000.0</v>
      </c>
      <c r="D53" s="105">
        <v>12500.0</v>
      </c>
      <c r="E53" s="105">
        <v>11000.0</v>
      </c>
      <c r="F53" s="106">
        <v>9040.0</v>
      </c>
      <c r="G53" s="107">
        <v>10035.0</v>
      </c>
      <c r="H53" s="108">
        <v>7000.0</v>
      </c>
      <c r="I53" s="108">
        <v>8620.0</v>
      </c>
      <c r="J53" s="108">
        <v>6000.0</v>
      </c>
      <c r="K53" s="108">
        <v>7000.0</v>
      </c>
      <c r="L53" s="108">
        <v>8100.0</v>
      </c>
      <c r="M53" s="109">
        <f>SUM(D6,D19)</f>
        <v>4000</v>
      </c>
      <c r="N53" s="110">
        <f t="shared" si="1"/>
        <v>93295</v>
      </c>
    </row>
    <row r="54">
      <c r="B54" s="112" t="s">
        <v>131</v>
      </c>
      <c r="C54" s="113">
        <f>SUM(C52,C53)</f>
        <v>35000</v>
      </c>
      <c r="D54" s="114">
        <f t="shared" ref="D54:I54" si="2">SUM(D52:D53)</f>
        <v>31000</v>
      </c>
      <c r="E54" s="114">
        <f t="shared" si="2"/>
        <v>31540</v>
      </c>
      <c r="F54" s="115">
        <f t="shared" si="2"/>
        <v>28740</v>
      </c>
      <c r="G54" s="115">
        <f t="shared" si="2"/>
        <v>33135</v>
      </c>
      <c r="H54" s="116">
        <f t="shared" si="2"/>
        <v>28560</v>
      </c>
      <c r="I54" s="116">
        <f t="shared" si="2"/>
        <v>27660</v>
      </c>
      <c r="J54" s="116">
        <f t="shared" ref="J54:L54" si="3">sum(J52:J53)</f>
        <v>35790</v>
      </c>
      <c r="K54" s="116">
        <f t="shared" si="3"/>
        <v>27170</v>
      </c>
      <c r="L54" s="116">
        <f t="shared" si="3"/>
        <v>39440</v>
      </c>
      <c r="M54" s="117">
        <f t="shared" ref="M54:N54" si="4">SUM(M52:M53)</f>
        <v>27010</v>
      </c>
      <c r="N54" s="118">
        <f t="shared" si="4"/>
        <v>345045</v>
      </c>
    </row>
    <row r="55">
      <c r="B55" s="119" t="s">
        <v>132</v>
      </c>
      <c r="C55" s="120">
        <f>SUM(C54:M54)</f>
        <v>345045</v>
      </c>
    </row>
    <row r="56">
      <c r="H56" s="95"/>
      <c r="J56" s="100"/>
    </row>
    <row r="57">
      <c r="H57" s="95"/>
      <c r="J57" s="100"/>
    </row>
    <row r="58">
      <c r="H58" s="95"/>
      <c r="J58" s="100"/>
    </row>
    <row r="59">
      <c r="H59" s="95"/>
      <c r="J59" s="100"/>
    </row>
    <row r="60">
      <c r="H60" s="95"/>
      <c r="J60" s="100"/>
    </row>
    <row r="61">
      <c r="H61" s="95"/>
      <c r="J61" s="100"/>
    </row>
    <row r="62">
      <c r="H62" s="95"/>
      <c r="J62" s="100"/>
    </row>
    <row r="63">
      <c r="H63" s="95"/>
      <c r="J63" s="100"/>
    </row>
    <row r="64">
      <c r="H64" s="95"/>
      <c r="J64" s="100"/>
    </row>
    <row r="65">
      <c r="H65" s="95"/>
      <c r="J65" s="100"/>
    </row>
    <row r="66">
      <c r="H66" s="95"/>
      <c r="J66" s="100"/>
    </row>
    <row r="67">
      <c r="H67" s="95"/>
      <c r="J67" s="100"/>
    </row>
    <row r="68">
      <c r="H68" s="95"/>
      <c r="J68" s="100"/>
    </row>
    <row r="69">
      <c r="H69" s="95"/>
      <c r="J69" s="100"/>
    </row>
    <row r="70">
      <c r="H70" s="95"/>
      <c r="J70" s="100"/>
    </row>
    <row r="71">
      <c r="H71" s="95"/>
      <c r="J71" s="100"/>
    </row>
    <row r="72">
      <c r="H72" s="95"/>
      <c r="J72" s="100"/>
    </row>
    <row r="73">
      <c r="H73" s="95"/>
      <c r="J73" s="100"/>
    </row>
    <row r="74">
      <c r="H74" s="95"/>
      <c r="J74" s="100"/>
    </row>
    <row r="75">
      <c r="H75" s="95"/>
      <c r="J75" s="100"/>
    </row>
    <row r="76">
      <c r="H76" s="95"/>
      <c r="J76" s="100"/>
    </row>
    <row r="77">
      <c r="H77" s="95"/>
      <c r="J77" s="100"/>
    </row>
    <row r="78">
      <c r="H78" s="95"/>
      <c r="J78" s="100"/>
    </row>
    <row r="79">
      <c r="H79" s="95"/>
      <c r="J79" s="100"/>
    </row>
    <row r="80">
      <c r="H80" s="95"/>
      <c r="J80" s="100"/>
    </row>
    <row r="81">
      <c r="H81" s="95"/>
      <c r="J81" s="100"/>
    </row>
    <row r="82">
      <c r="H82" s="95"/>
      <c r="J82" s="100"/>
    </row>
    <row r="83">
      <c r="H83" s="95"/>
      <c r="J83" s="100"/>
    </row>
    <row r="84">
      <c r="H84" s="95"/>
      <c r="J84" s="100"/>
    </row>
    <row r="85">
      <c r="H85" s="95"/>
      <c r="J85" s="100"/>
    </row>
    <row r="86">
      <c r="H86" s="95"/>
      <c r="J86" s="100"/>
    </row>
    <row r="87">
      <c r="H87" s="95"/>
      <c r="J87" s="100"/>
    </row>
    <row r="88">
      <c r="H88" s="95"/>
      <c r="J88" s="100"/>
    </row>
    <row r="89">
      <c r="H89" s="95"/>
      <c r="J89" s="100"/>
    </row>
    <row r="90">
      <c r="H90" s="95"/>
      <c r="J90" s="100"/>
    </row>
    <row r="91">
      <c r="H91" s="95"/>
      <c r="J91" s="100"/>
    </row>
    <row r="92">
      <c r="H92" s="95"/>
      <c r="J92" s="100"/>
    </row>
    <row r="93">
      <c r="H93" s="95"/>
      <c r="J93" s="100"/>
    </row>
    <row r="94">
      <c r="H94" s="95"/>
      <c r="J94" s="100"/>
    </row>
    <row r="95">
      <c r="H95" s="95"/>
      <c r="J95" s="100"/>
    </row>
    <row r="96">
      <c r="H96" s="95"/>
      <c r="J96" s="100"/>
    </row>
    <row r="97">
      <c r="H97" s="95"/>
      <c r="J97" s="100"/>
    </row>
    <row r="98">
      <c r="H98" s="95"/>
      <c r="J98" s="100"/>
    </row>
    <row r="99">
      <c r="H99" s="95"/>
      <c r="J99" s="100"/>
    </row>
    <row r="100">
      <c r="H100" s="95"/>
      <c r="J100" s="100"/>
    </row>
    <row r="101">
      <c r="H101" s="95"/>
      <c r="J101" s="100"/>
    </row>
    <row r="102">
      <c r="H102" s="95"/>
      <c r="J102" s="100"/>
    </row>
    <row r="103">
      <c r="H103" s="95"/>
      <c r="J103" s="100"/>
    </row>
    <row r="104">
      <c r="H104" s="95"/>
      <c r="J104" s="100"/>
    </row>
    <row r="105">
      <c r="H105" s="95"/>
      <c r="J105" s="100"/>
    </row>
    <row r="106">
      <c r="H106" s="95"/>
      <c r="J106" s="100"/>
    </row>
    <row r="107">
      <c r="H107" s="95"/>
      <c r="J107" s="100"/>
    </row>
    <row r="108">
      <c r="H108" s="95"/>
      <c r="J108" s="100"/>
    </row>
    <row r="109">
      <c r="H109" s="95"/>
      <c r="J109" s="100"/>
    </row>
    <row r="110">
      <c r="H110" s="95"/>
      <c r="J110" s="100"/>
    </row>
    <row r="111">
      <c r="H111" s="95"/>
      <c r="J111" s="100"/>
    </row>
    <row r="112">
      <c r="H112" s="95"/>
      <c r="J112" s="100"/>
    </row>
    <row r="113">
      <c r="H113" s="95"/>
      <c r="J113" s="100"/>
    </row>
    <row r="114">
      <c r="H114" s="95"/>
      <c r="J114" s="100"/>
    </row>
    <row r="115">
      <c r="H115" s="95"/>
      <c r="J115" s="100"/>
    </row>
    <row r="116">
      <c r="H116" s="95"/>
      <c r="J116" s="100"/>
    </row>
    <row r="117">
      <c r="H117" s="95"/>
      <c r="J117" s="100"/>
    </row>
    <row r="118">
      <c r="H118" s="95"/>
      <c r="J118" s="100"/>
    </row>
    <row r="119">
      <c r="H119" s="95"/>
      <c r="J119" s="100"/>
    </row>
    <row r="120">
      <c r="H120" s="95"/>
      <c r="J120" s="100"/>
    </row>
    <row r="121">
      <c r="H121" s="95"/>
      <c r="J121" s="100"/>
    </row>
    <row r="122">
      <c r="H122" s="95"/>
      <c r="J122" s="100"/>
    </row>
    <row r="123">
      <c r="H123" s="95"/>
      <c r="J123" s="100"/>
    </row>
    <row r="124">
      <c r="H124" s="95"/>
      <c r="J124" s="100"/>
    </row>
    <row r="125">
      <c r="H125" s="95"/>
      <c r="J125" s="100"/>
    </row>
    <row r="126">
      <c r="H126" s="95"/>
      <c r="J126" s="100"/>
    </row>
    <row r="127">
      <c r="H127" s="95"/>
      <c r="J127" s="100"/>
    </row>
    <row r="128">
      <c r="H128" s="95"/>
      <c r="J128" s="100"/>
    </row>
    <row r="129">
      <c r="H129" s="95"/>
      <c r="J129" s="100"/>
    </row>
    <row r="130">
      <c r="H130" s="95"/>
      <c r="J130" s="100"/>
    </row>
    <row r="131">
      <c r="H131" s="95"/>
      <c r="J131" s="100"/>
    </row>
    <row r="132">
      <c r="H132" s="95"/>
      <c r="J132" s="100"/>
    </row>
    <row r="133">
      <c r="H133" s="95"/>
      <c r="J133" s="100"/>
    </row>
    <row r="134">
      <c r="H134" s="95"/>
      <c r="J134" s="100"/>
    </row>
    <row r="135">
      <c r="H135" s="95"/>
      <c r="J135" s="100"/>
    </row>
    <row r="136">
      <c r="H136" s="95"/>
      <c r="J136" s="100"/>
    </row>
    <row r="137">
      <c r="H137" s="95"/>
      <c r="J137" s="100"/>
    </row>
    <row r="138">
      <c r="H138" s="95"/>
      <c r="J138" s="100"/>
    </row>
    <row r="139">
      <c r="H139" s="95"/>
      <c r="J139" s="100"/>
    </row>
    <row r="140">
      <c r="H140" s="95"/>
      <c r="J140" s="100"/>
    </row>
    <row r="141">
      <c r="H141" s="95"/>
      <c r="J141" s="100"/>
    </row>
    <row r="142">
      <c r="H142" s="95"/>
      <c r="J142" s="100"/>
    </row>
    <row r="143">
      <c r="H143" s="95"/>
      <c r="J143" s="100"/>
    </row>
    <row r="144">
      <c r="H144" s="95"/>
      <c r="J144" s="100"/>
    </row>
    <row r="145">
      <c r="H145" s="95"/>
      <c r="J145" s="100"/>
    </row>
    <row r="146">
      <c r="H146" s="95"/>
      <c r="J146" s="100"/>
    </row>
    <row r="147">
      <c r="H147" s="95"/>
      <c r="J147" s="100"/>
    </row>
    <row r="148">
      <c r="H148" s="95"/>
      <c r="J148" s="100"/>
    </row>
    <row r="149">
      <c r="H149" s="95"/>
      <c r="J149" s="100"/>
    </row>
    <row r="150">
      <c r="H150" s="95"/>
      <c r="J150" s="100"/>
    </row>
    <row r="151">
      <c r="H151" s="95"/>
      <c r="J151" s="100"/>
    </row>
    <row r="152">
      <c r="H152" s="95"/>
      <c r="J152" s="100"/>
    </row>
    <row r="153">
      <c r="H153" s="95"/>
      <c r="J153" s="100"/>
    </row>
    <row r="154">
      <c r="H154" s="95"/>
      <c r="J154" s="100"/>
    </row>
    <row r="155">
      <c r="H155" s="95"/>
      <c r="J155" s="100"/>
    </row>
    <row r="156">
      <c r="H156" s="95"/>
      <c r="J156" s="100"/>
    </row>
    <row r="157">
      <c r="H157" s="95"/>
      <c r="J157" s="100"/>
    </row>
    <row r="158">
      <c r="H158" s="95"/>
      <c r="J158" s="100"/>
    </row>
    <row r="159">
      <c r="H159" s="95"/>
      <c r="J159" s="100"/>
    </row>
    <row r="160">
      <c r="H160" s="95"/>
      <c r="J160" s="100"/>
    </row>
    <row r="161">
      <c r="H161" s="95"/>
      <c r="J161" s="100"/>
    </row>
    <row r="162">
      <c r="H162" s="95"/>
      <c r="J162" s="100"/>
    </row>
    <row r="163">
      <c r="H163" s="95"/>
      <c r="J163" s="100"/>
    </row>
    <row r="164">
      <c r="H164" s="95"/>
      <c r="J164" s="100"/>
    </row>
    <row r="165">
      <c r="H165" s="95"/>
      <c r="J165" s="100"/>
    </row>
    <row r="166">
      <c r="H166" s="95"/>
      <c r="J166" s="100"/>
    </row>
    <row r="167">
      <c r="H167" s="95"/>
      <c r="J167" s="100"/>
    </row>
    <row r="168">
      <c r="H168" s="95"/>
      <c r="J168" s="100"/>
    </row>
    <row r="169">
      <c r="H169" s="95"/>
      <c r="J169" s="100"/>
    </row>
    <row r="170">
      <c r="H170" s="95"/>
      <c r="J170" s="100"/>
    </row>
    <row r="171">
      <c r="H171" s="95"/>
      <c r="J171" s="100"/>
    </row>
    <row r="172">
      <c r="H172" s="95"/>
      <c r="J172" s="100"/>
    </row>
    <row r="173">
      <c r="H173" s="95"/>
      <c r="J173" s="100"/>
    </row>
    <row r="174">
      <c r="H174" s="95"/>
      <c r="J174" s="100"/>
    </row>
    <row r="175">
      <c r="H175" s="95"/>
      <c r="J175" s="100"/>
    </row>
    <row r="176">
      <c r="H176" s="95"/>
      <c r="J176" s="100"/>
    </row>
    <row r="177">
      <c r="H177" s="95"/>
      <c r="J177" s="100"/>
    </row>
    <row r="178">
      <c r="H178" s="95"/>
      <c r="J178" s="100"/>
    </row>
    <row r="179">
      <c r="H179" s="95"/>
      <c r="J179" s="100"/>
    </row>
    <row r="180">
      <c r="H180" s="95"/>
      <c r="J180" s="100"/>
    </row>
    <row r="181">
      <c r="H181" s="95"/>
      <c r="J181" s="100"/>
    </row>
    <row r="182">
      <c r="H182" s="95"/>
      <c r="J182" s="100"/>
    </row>
    <row r="183">
      <c r="H183" s="95"/>
      <c r="J183" s="100"/>
    </row>
    <row r="184">
      <c r="H184" s="95"/>
      <c r="J184" s="100"/>
    </row>
    <row r="185">
      <c r="H185" s="95"/>
      <c r="J185" s="100"/>
    </row>
    <row r="186">
      <c r="H186" s="95"/>
      <c r="J186" s="100"/>
    </row>
    <row r="187">
      <c r="H187" s="95"/>
      <c r="J187" s="100"/>
    </row>
    <row r="188">
      <c r="H188" s="95"/>
      <c r="J188" s="100"/>
    </row>
    <row r="189">
      <c r="H189" s="95"/>
      <c r="J189" s="100"/>
    </row>
    <row r="190">
      <c r="H190" s="95"/>
      <c r="J190" s="100"/>
    </row>
    <row r="191">
      <c r="H191" s="95"/>
      <c r="J191" s="100"/>
    </row>
    <row r="192">
      <c r="H192" s="95"/>
      <c r="J192" s="100"/>
    </row>
    <row r="193">
      <c r="H193" s="95"/>
      <c r="J193" s="100"/>
    </row>
    <row r="194">
      <c r="H194" s="95"/>
      <c r="J194" s="100"/>
    </row>
    <row r="195">
      <c r="H195" s="95"/>
      <c r="J195" s="100"/>
    </row>
    <row r="196">
      <c r="H196" s="95"/>
      <c r="J196" s="100"/>
    </row>
    <row r="197">
      <c r="H197" s="95"/>
      <c r="J197" s="100"/>
    </row>
    <row r="198">
      <c r="H198" s="95"/>
      <c r="J198" s="100"/>
    </row>
    <row r="199">
      <c r="H199" s="95"/>
      <c r="J199" s="100"/>
    </row>
    <row r="200">
      <c r="H200" s="95"/>
      <c r="J200" s="100"/>
    </row>
    <row r="201">
      <c r="H201" s="95"/>
      <c r="J201" s="100"/>
    </row>
    <row r="202">
      <c r="H202" s="95"/>
      <c r="J202" s="100"/>
    </row>
    <row r="203">
      <c r="H203" s="95"/>
      <c r="J203" s="100"/>
    </row>
    <row r="204">
      <c r="H204" s="95"/>
      <c r="J204" s="100"/>
    </row>
    <row r="205">
      <c r="H205" s="95"/>
      <c r="J205" s="100"/>
    </row>
    <row r="206">
      <c r="H206" s="95"/>
      <c r="J206" s="100"/>
    </row>
    <row r="207">
      <c r="H207" s="95"/>
      <c r="J207" s="100"/>
    </row>
    <row r="208">
      <c r="H208" s="95"/>
      <c r="J208" s="100"/>
    </row>
    <row r="209">
      <c r="H209" s="95"/>
      <c r="J209" s="100"/>
    </row>
    <row r="210">
      <c r="H210" s="95"/>
      <c r="J210" s="100"/>
    </row>
    <row r="211">
      <c r="H211" s="95"/>
      <c r="J211" s="100"/>
    </row>
    <row r="212">
      <c r="H212" s="95"/>
      <c r="J212" s="100"/>
    </row>
    <row r="213">
      <c r="H213" s="95"/>
      <c r="J213" s="100"/>
    </row>
    <row r="214">
      <c r="H214" s="95"/>
      <c r="J214" s="100"/>
    </row>
    <row r="215">
      <c r="H215" s="95"/>
      <c r="J215" s="100"/>
    </row>
    <row r="216">
      <c r="H216" s="95"/>
      <c r="J216" s="100"/>
    </row>
    <row r="217">
      <c r="H217" s="95"/>
      <c r="J217" s="100"/>
    </row>
    <row r="218">
      <c r="H218" s="95"/>
      <c r="J218" s="100"/>
    </row>
    <row r="219">
      <c r="H219" s="95"/>
      <c r="J219" s="100"/>
    </row>
    <row r="220">
      <c r="H220" s="95"/>
      <c r="J220" s="100"/>
    </row>
    <row r="221">
      <c r="H221" s="95"/>
      <c r="J221" s="100"/>
    </row>
    <row r="222">
      <c r="H222" s="95"/>
      <c r="J222" s="100"/>
    </row>
    <row r="223">
      <c r="H223" s="95"/>
      <c r="J223" s="100"/>
    </row>
    <row r="224">
      <c r="H224" s="95"/>
      <c r="J224" s="100"/>
    </row>
    <row r="225">
      <c r="H225" s="95"/>
      <c r="J225" s="100"/>
    </row>
    <row r="226">
      <c r="H226" s="95"/>
      <c r="J226" s="100"/>
    </row>
    <row r="227">
      <c r="H227" s="95"/>
      <c r="J227" s="100"/>
    </row>
    <row r="228">
      <c r="H228" s="95"/>
      <c r="J228" s="100"/>
    </row>
    <row r="229">
      <c r="H229" s="95"/>
      <c r="J229" s="100"/>
    </row>
    <row r="230">
      <c r="H230" s="95"/>
      <c r="J230" s="100"/>
    </row>
    <row r="231">
      <c r="H231" s="95"/>
      <c r="J231" s="100"/>
    </row>
    <row r="232">
      <c r="H232" s="95"/>
      <c r="J232" s="100"/>
    </row>
    <row r="233">
      <c r="H233" s="95"/>
      <c r="J233" s="100"/>
    </row>
    <row r="234">
      <c r="H234" s="95"/>
      <c r="J234" s="100"/>
    </row>
    <row r="235">
      <c r="H235" s="95"/>
      <c r="J235" s="100"/>
    </row>
    <row r="236">
      <c r="H236" s="95"/>
      <c r="J236" s="100"/>
    </row>
    <row r="237">
      <c r="H237" s="95"/>
      <c r="J237" s="100"/>
    </row>
    <row r="238">
      <c r="H238" s="95"/>
      <c r="J238" s="100"/>
    </row>
    <row r="239">
      <c r="H239" s="95"/>
      <c r="J239" s="100"/>
    </row>
    <row r="240">
      <c r="H240" s="95"/>
      <c r="J240" s="100"/>
    </row>
    <row r="241">
      <c r="H241" s="95"/>
      <c r="J241" s="100"/>
    </row>
    <row r="242">
      <c r="H242" s="95"/>
      <c r="J242" s="100"/>
    </row>
    <row r="243">
      <c r="H243" s="95"/>
      <c r="J243" s="100"/>
    </row>
    <row r="244">
      <c r="H244" s="95"/>
      <c r="J244" s="100"/>
    </row>
    <row r="245">
      <c r="H245" s="95"/>
      <c r="J245" s="100"/>
    </row>
    <row r="246">
      <c r="H246" s="95"/>
      <c r="J246" s="100"/>
    </row>
    <row r="247">
      <c r="H247" s="95"/>
      <c r="J247" s="100"/>
    </row>
    <row r="248">
      <c r="H248" s="95"/>
      <c r="J248" s="100"/>
    </row>
    <row r="249">
      <c r="H249" s="95"/>
      <c r="J249" s="100"/>
    </row>
    <row r="250">
      <c r="H250" s="95"/>
      <c r="J250" s="100"/>
    </row>
    <row r="251">
      <c r="H251" s="95"/>
      <c r="J251" s="100"/>
    </row>
    <row r="252">
      <c r="H252" s="95"/>
      <c r="J252" s="100"/>
    </row>
    <row r="253">
      <c r="H253" s="95"/>
      <c r="J253" s="100"/>
    </row>
    <row r="254">
      <c r="H254" s="95"/>
      <c r="J254" s="100"/>
    </row>
    <row r="255">
      <c r="H255" s="95"/>
      <c r="J255" s="100"/>
    </row>
    <row r="256">
      <c r="H256" s="95"/>
      <c r="J256" s="100"/>
    </row>
    <row r="257">
      <c r="H257" s="95"/>
      <c r="J257" s="100"/>
    </row>
    <row r="258">
      <c r="H258" s="95"/>
      <c r="J258" s="100"/>
    </row>
    <row r="259">
      <c r="H259" s="95"/>
      <c r="J259" s="100"/>
    </row>
    <row r="260">
      <c r="H260" s="95"/>
      <c r="J260" s="100"/>
    </row>
    <row r="261">
      <c r="H261" s="95"/>
      <c r="J261" s="100"/>
    </row>
    <row r="262">
      <c r="H262" s="95"/>
      <c r="J262" s="100"/>
    </row>
    <row r="263">
      <c r="H263" s="95"/>
      <c r="J263" s="100"/>
    </row>
    <row r="264">
      <c r="H264" s="95"/>
      <c r="J264" s="100"/>
    </row>
    <row r="265">
      <c r="H265" s="95"/>
      <c r="J265" s="100"/>
    </row>
    <row r="266">
      <c r="H266" s="95"/>
      <c r="J266" s="100"/>
    </row>
    <row r="267">
      <c r="H267" s="95"/>
      <c r="J267" s="100"/>
    </row>
    <row r="268">
      <c r="H268" s="95"/>
      <c r="J268" s="100"/>
    </row>
    <row r="269">
      <c r="H269" s="95"/>
      <c r="J269" s="100"/>
    </row>
    <row r="270">
      <c r="H270" s="95"/>
      <c r="J270" s="100"/>
    </row>
    <row r="271">
      <c r="H271" s="95"/>
      <c r="J271" s="100"/>
    </row>
    <row r="272">
      <c r="H272" s="95"/>
      <c r="J272" s="100"/>
    </row>
    <row r="273">
      <c r="H273" s="95"/>
      <c r="J273" s="100"/>
    </row>
    <row r="274">
      <c r="H274" s="95"/>
      <c r="J274" s="100"/>
    </row>
    <row r="275">
      <c r="H275" s="95"/>
      <c r="J275" s="100"/>
    </row>
    <row r="276">
      <c r="H276" s="95"/>
      <c r="J276" s="100"/>
    </row>
    <row r="277">
      <c r="H277" s="95"/>
      <c r="J277" s="100"/>
    </row>
    <row r="278">
      <c r="H278" s="95"/>
      <c r="J278" s="100"/>
    </row>
    <row r="279">
      <c r="H279" s="95"/>
      <c r="J279" s="100"/>
    </row>
    <row r="280">
      <c r="H280" s="95"/>
      <c r="J280" s="100"/>
    </row>
    <row r="281">
      <c r="H281" s="95"/>
      <c r="J281" s="100"/>
    </row>
    <row r="282">
      <c r="H282" s="95"/>
      <c r="J282" s="100"/>
    </row>
    <row r="283">
      <c r="H283" s="95"/>
      <c r="J283" s="100"/>
    </row>
    <row r="284">
      <c r="H284" s="95"/>
      <c r="J284" s="100"/>
    </row>
    <row r="285">
      <c r="H285" s="95"/>
      <c r="J285" s="100"/>
    </row>
    <row r="286">
      <c r="H286" s="95"/>
      <c r="J286" s="100"/>
    </row>
    <row r="287">
      <c r="H287" s="95"/>
      <c r="J287" s="100"/>
    </row>
    <row r="288">
      <c r="H288" s="95"/>
      <c r="J288" s="100"/>
    </row>
    <row r="289">
      <c r="H289" s="95"/>
      <c r="J289" s="100"/>
    </row>
    <row r="290">
      <c r="H290" s="95"/>
      <c r="J290" s="100"/>
    </row>
    <row r="291">
      <c r="H291" s="95"/>
      <c r="J291" s="100"/>
    </row>
    <row r="292">
      <c r="H292" s="95"/>
      <c r="J292" s="100"/>
    </row>
    <row r="293">
      <c r="H293" s="95"/>
      <c r="J293" s="100"/>
    </row>
    <row r="294">
      <c r="H294" s="95"/>
      <c r="J294" s="100"/>
    </row>
    <row r="295">
      <c r="H295" s="95"/>
      <c r="J295" s="100"/>
    </row>
    <row r="296">
      <c r="H296" s="95"/>
      <c r="J296" s="100"/>
    </row>
    <row r="297">
      <c r="H297" s="95"/>
      <c r="J297" s="100"/>
    </row>
    <row r="298">
      <c r="H298" s="95"/>
      <c r="J298" s="100"/>
    </row>
    <row r="299">
      <c r="H299" s="95"/>
      <c r="J299" s="100"/>
    </row>
    <row r="300">
      <c r="H300" s="95"/>
      <c r="J300" s="100"/>
    </row>
    <row r="301">
      <c r="H301" s="95"/>
      <c r="J301" s="100"/>
    </row>
    <row r="302">
      <c r="H302" s="95"/>
      <c r="J302" s="100"/>
    </row>
    <row r="303">
      <c r="H303" s="95"/>
      <c r="J303" s="100"/>
    </row>
    <row r="304">
      <c r="H304" s="95"/>
      <c r="J304" s="100"/>
    </row>
    <row r="305">
      <c r="H305" s="95"/>
      <c r="J305" s="100"/>
    </row>
    <row r="306">
      <c r="H306" s="95"/>
      <c r="J306" s="100"/>
    </row>
    <row r="307">
      <c r="H307" s="95"/>
      <c r="J307" s="100"/>
    </row>
    <row r="308">
      <c r="H308" s="95"/>
      <c r="J308" s="100"/>
    </row>
    <row r="309">
      <c r="H309" s="95"/>
      <c r="J309" s="100"/>
    </row>
    <row r="310">
      <c r="H310" s="95"/>
      <c r="J310" s="100"/>
    </row>
    <row r="311">
      <c r="H311" s="95"/>
      <c r="J311" s="100"/>
    </row>
    <row r="312">
      <c r="H312" s="95"/>
      <c r="J312" s="100"/>
    </row>
    <row r="313">
      <c r="H313" s="95"/>
      <c r="J313" s="100"/>
    </row>
    <row r="314">
      <c r="H314" s="95"/>
      <c r="J314" s="100"/>
    </row>
    <row r="315">
      <c r="H315" s="95"/>
      <c r="J315" s="100"/>
    </row>
    <row r="316">
      <c r="H316" s="95"/>
      <c r="J316" s="100"/>
    </row>
    <row r="317">
      <c r="H317" s="95"/>
      <c r="J317" s="100"/>
    </row>
    <row r="318">
      <c r="H318" s="95"/>
      <c r="J318" s="100"/>
    </row>
    <row r="319">
      <c r="H319" s="95"/>
      <c r="J319" s="100"/>
    </row>
    <row r="320">
      <c r="H320" s="95"/>
      <c r="J320" s="100"/>
    </row>
    <row r="321">
      <c r="H321" s="95"/>
      <c r="J321" s="100"/>
    </row>
    <row r="322">
      <c r="H322" s="95"/>
      <c r="J322" s="100"/>
    </row>
    <row r="323">
      <c r="H323" s="95"/>
      <c r="J323" s="100"/>
    </row>
    <row r="324">
      <c r="H324" s="95"/>
      <c r="J324" s="100"/>
    </row>
    <row r="325">
      <c r="H325" s="95"/>
      <c r="J325" s="100"/>
    </row>
    <row r="326">
      <c r="H326" s="95"/>
      <c r="J326" s="100"/>
    </row>
    <row r="327">
      <c r="H327" s="95"/>
      <c r="J327" s="100"/>
    </row>
    <row r="328">
      <c r="H328" s="95"/>
      <c r="J328" s="100"/>
    </row>
    <row r="329">
      <c r="H329" s="95"/>
      <c r="J329" s="100"/>
    </row>
    <row r="330">
      <c r="H330" s="95"/>
      <c r="J330" s="100"/>
    </row>
    <row r="331">
      <c r="H331" s="95"/>
      <c r="J331" s="100"/>
    </row>
    <row r="332">
      <c r="H332" s="95"/>
      <c r="J332" s="100"/>
    </row>
    <row r="333">
      <c r="H333" s="95"/>
      <c r="J333" s="100"/>
    </row>
    <row r="334">
      <c r="H334" s="95"/>
      <c r="J334" s="100"/>
    </row>
    <row r="335">
      <c r="H335" s="95"/>
      <c r="J335" s="100"/>
    </row>
    <row r="336">
      <c r="H336" s="95"/>
      <c r="J336" s="100"/>
    </row>
    <row r="337">
      <c r="H337" s="95"/>
      <c r="J337" s="100"/>
    </row>
    <row r="338">
      <c r="H338" s="95"/>
      <c r="J338" s="100"/>
    </row>
    <row r="339">
      <c r="H339" s="95"/>
      <c r="J339" s="100"/>
    </row>
    <row r="340">
      <c r="H340" s="95"/>
      <c r="J340" s="100"/>
    </row>
    <row r="341">
      <c r="H341" s="95"/>
      <c r="J341" s="100"/>
    </row>
    <row r="342">
      <c r="H342" s="95"/>
      <c r="J342" s="100"/>
    </row>
    <row r="343">
      <c r="H343" s="95"/>
      <c r="J343" s="100"/>
    </row>
    <row r="344">
      <c r="H344" s="95"/>
      <c r="J344" s="100"/>
    </row>
    <row r="345">
      <c r="H345" s="95"/>
      <c r="J345" s="100"/>
    </row>
    <row r="346">
      <c r="H346" s="95"/>
      <c r="J346" s="100"/>
    </row>
    <row r="347">
      <c r="H347" s="95"/>
      <c r="J347" s="100"/>
    </row>
    <row r="348">
      <c r="H348" s="95"/>
      <c r="J348" s="100"/>
    </row>
    <row r="349">
      <c r="H349" s="95"/>
      <c r="J349" s="100"/>
    </row>
    <row r="350">
      <c r="H350" s="95"/>
      <c r="J350" s="100"/>
    </row>
    <row r="351">
      <c r="H351" s="95"/>
      <c r="J351" s="100"/>
    </row>
    <row r="352">
      <c r="H352" s="95"/>
      <c r="J352" s="100"/>
    </row>
    <row r="353">
      <c r="H353" s="95"/>
      <c r="J353" s="100"/>
    </row>
    <row r="354">
      <c r="H354" s="95"/>
      <c r="J354" s="100"/>
    </row>
    <row r="355">
      <c r="H355" s="95"/>
      <c r="J355" s="100"/>
    </row>
    <row r="356">
      <c r="H356" s="95"/>
      <c r="J356" s="100"/>
    </row>
    <row r="357">
      <c r="H357" s="95"/>
      <c r="J357" s="100"/>
    </row>
    <row r="358">
      <c r="H358" s="95"/>
      <c r="J358" s="100"/>
    </row>
    <row r="359">
      <c r="H359" s="95"/>
      <c r="J359" s="100"/>
    </row>
    <row r="360">
      <c r="H360" s="95"/>
      <c r="J360" s="100"/>
    </row>
    <row r="361">
      <c r="H361" s="95"/>
      <c r="J361" s="100"/>
    </row>
    <row r="362">
      <c r="H362" s="95"/>
      <c r="J362" s="100"/>
    </row>
    <row r="363">
      <c r="H363" s="95"/>
      <c r="J363" s="100"/>
    </row>
    <row r="364">
      <c r="H364" s="95"/>
      <c r="J364" s="100"/>
    </row>
    <row r="365">
      <c r="H365" s="95"/>
      <c r="J365" s="100"/>
    </row>
    <row r="366">
      <c r="H366" s="95"/>
      <c r="J366" s="100"/>
    </row>
    <row r="367">
      <c r="H367" s="95"/>
      <c r="J367" s="100"/>
    </row>
    <row r="368">
      <c r="H368" s="95"/>
      <c r="J368" s="100"/>
    </row>
    <row r="369">
      <c r="H369" s="95"/>
      <c r="J369" s="100"/>
    </row>
    <row r="370">
      <c r="H370" s="95"/>
      <c r="J370" s="100"/>
    </row>
    <row r="371">
      <c r="H371" s="95"/>
      <c r="J371" s="100"/>
    </row>
    <row r="372">
      <c r="H372" s="95"/>
      <c r="J372" s="100"/>
    </row>
    <row r="373">
      <c r="H373" s="95"/>
      <c r="J373" s="100"/>
    </row>
    <row r="374">
      <c r="H374" s="95"/>
      <c r="J374" s="100"/>
    </row>
    <row r="375">
      <c r="H375" s="95"/>
      <c r="J375" s="100"/>
    </row>
    <row r="376">
      <c r="H376" s="95"/>
      <c r="J376" s="100"/>
    </row>
    <row r="377">
      <c r="H377" s="95"/>
      <c r="J377" s="100"/>
    </row>
    <row r="378">
      <c r="H378" s="95"/>
      <c r="J378" s="100"/>
    </row>
    <row r="379">
      <c r="H379" s="95"/>
      <c r="J379" s="100"/>
    </row>
    <row r="380">
      <c r="H380" s="95"/>
      <c r="J380" s="100"/>
    </row>
    <row r="381">
      <c r="H381" s="95"/>
      <c r="J381" s="100"/>
    </row>
    <row r="382">
      <c r="H382" s="95"/>
      <c r="J382" s="100"/>
    </row>
    <row r="383">
      <c r="H383" s="95"/>
      <c r="J383" s="100"/>
    </row>
    <row r="384">
      <c r="H384" s="95"/>
      <c r="J384" s="100"/>
    </row>
    <row r="385">
      <c r="H385" s="95"/>
      <c r="J385" s="100"/>
    </row>
    <row r="386">
      <c r="H386" s="95"/>
      <c r="J386" s="100"/>
    </row>
    <row r="387">
      <c r="H387" s="95"/>
      <c r="J387" s="100"/>
    </row>
    <row r="388">
      <c r="H388" s="95"/>
      <c r="J388" s="100"/>
    </row>
    <row r="389">
      <c r="H389" s="95"/>
      <c r="J389" s="100"/>
    </row>
    <row r="390">
      <c r="H390" s="95"/>
      <c r="J390" s="100"/>
    </row>
    <row r="391">
      <c r="H391" s="95"/>
      <c r="J391" s="100"/>
    </row>
    <row r="392">
      <c r="H392" s="95"/>
      <c r="J392" s="100"/>
    </row>
    <row r="393">
      <c r="H393" s="95"/>
      <c r="J393" s="100"/>
    </row>
    <row r="394">
      <c r="H394" s="95"/>
      <c r="J394" s="100"/>
    </row>
    <row r="395">
      <c r="H395" s="95"/>
      <c r="J395" s="100"/>
    </row>
    <row r="396">
      <c r="H396" s="95"/>
      <c r="J396" s="100"/>
    </row>
    <row r="397">
      <c r="H397" s="95"/>
      <c r="J397" s="100"/>
    </row>
    <row r="398">
      <c r="H398" s="95"/>
      <c r="J398" s="100"/>
    </row>
    <row r="399">
      <c r="H399" s="95"/>
      <c r="J399" s="100"/>
    </row>
    <row r="400">
      <c r="H400" s="95"/>
      <c r="J400" s="100"/>
    </row>
    <row r="401">
      <c r="H401" s="95"/>
      <c r="J401" s="100"/>
    </row>
    <row r="402">
      <c r="H402" s="95"/>
      <c r="J402" s="100"/>
    </row>
    <row r="403">
      <c r="H403" s="95"/>
      <c r="J403" s="100"/>
    </row>
    <row r="404">
      <c r="H404" s="95"/>
      <c r="J404" s="100"/>
    </row>
    <row r="405">
      <c r="H405" s="95"/>
      <c r="J405" s="100"/>
    </row>
    <row r="406">
      <c r="H406" s="95"/>
      <c r="J406" s="100"/>
    </row>
    <row r="407">
      <c r="H407" s="95"/>
      <c r="J407" s="100"/>
    </row>
    <row r="408">
      <c r="H408" s="95"/>
      <c r="J408" s="100"/>
    </row>
    <row r="409">
      <c r="H409" s="95"/>
      <c r="J409" s="100"/>
    </row>
    <row r="410">
      <c r="H410" s="95"/>
      <c r="J410" s="100"/>
    </row>
    <row r="411">
      <c r="H411" s="95"/>
      <c r="J411" s="100"/>
    </row>
    <row r="412">
      <c r="H412" s="95"/>
      <c r="J412" s="100"/>
    </row>
    <row r="413">
      <c r="H413" s="95"/>
      <c r="J413" s="100"/>
    </row>
    <row r="414">
      <c r="H414" s="95"/>
      <c r="J414" s="100"/>
    </row>
    <row r="415">
      <c r="H415" s="95"/>
      <c r="J415" s="100"/>
    </row>
    <row r="416">
      <c r="H416" s="95"/>
      <c r="J416" s="100"/>
    </row>
    <row r="417">
      <c r="H417" s="95"/>
      <c r="J417" s="100"/>
    </row>
    <row r="418">
      <c r="H418" s="95"/>
      <c r="J418" s="100"/>
    </row>
    <row r="419">
      <c r="H419" s="95"/>
      <c r="J419" s="100"/>
    </row>
    <row r="420">
      <c r="H420" s="95"/>
      <c r="J420" s="100"/>
    </row>
    <row r="421">
      <c r="H421" s="95"/>
      <c r="J421" s="100"/>
    </row>
    <row r="422">
      <c r="H422" s="95"/>
      <c r="J422" s="100"/>
    </row>
    <row r="423">
      <c r="H423" s="95"/>
      <c r="J423" s="100"/>
    </row>
    <row r="424">
      <c r="H424" s="95"/>
      <c r="J424" s="100"/>
    </row>
    <row r="425">
      <c r="H425" s="95"/>
      <c r="J425" s="100"/>
    </row>
    <row r="426">
      <c r="H426" s="95"/>
      <c r="J426" s="100"/>
    </row>
    <row r="427">
      <c r="H427" s="95"/>
      <c r="J427" s="100"/>
    </row>
    <row r="428">
      <c r="H428" s="95"/>
      <c r="J428" s="100"/>
    </row>
    <row r="429">
      <c r="H429" s="95"/>
      <c r="J429" s="100"/>
    </row>
    <row r="430">
      <c r="H430" s="95"/>
      <c r="J430" s="100"/>
    </row>
    <row r="431">
      <c r="H431" s="95"/>
      <c r="J431" s="100"/>
    </row>
    <row r="432">
      <c r="H432" s="95"/>
      <c r="J432" s="100"/>
    </row>
    <row r="433">
      <c r="H433" s="95"/>
      <c r="J433" s="100"/>
    </row>
    <row r="434">
      <c r="H434" s="95"/>
      <c r="J434" s="100"/>
    </row>
    <row r="435">
      <c r="H435" s="95"/>
      <c r="J435" s="100"/>
    </row>
    <row r="436">
      <c r="H436" s="95"/>
      <c r="J436" s="100"/>
    </row>
    <row r="437">
      <c r="H437" s="95"/>
      <c r="J437" s="100"/>
    </row>
    <row r="438">
      <c r="H438" s="95"/>
      <c r="J438" s="100"/>
    </row>
    <row r="439">
      <c r="H439" s="95"/>
      <c r="J439" s="100"/>
    </row>
    <row r="440">
      <c r="H440" s="95"/>
      <c r="J440" s="100"/>
    </row>
    <row r="441">
      <c r="H441" s="95"/>
      <c r="J441" s="100"/>
    </row>
    <row r="442">
      <c r="H442" s="95"/>
      <c r="J442" s="100"/>
    </row>
    <row r="443">
      <c r="H443" s="95"/>
      <c r="J443" s="100"/>
    </row>
    <row r="444">
      <c r="H444" s="95"/>
      <c r="J444" s="100"/>
    </row>
    <row r="445">
      <c r="H445" s="95"/>
      <c r="J445" s="100"/>
    </row>
    <row r="446">
      <c r="H446" s="95"/>
      <c r="J446" s="100"/>
    </row>
    <row r="447">
      <c r="H447" s="95"/>
      <c r="J447" s="100"/>
    </row>
    <row r="448">
      <c r="H448" s="95"/>
      <c r="J448" s="100"/>
    </row>
    <row r="449">
      <c r="H449" s="95"/>
      <c r="J449" s="100"/>
    </row>
    <row r="450">
      <c r="H450" s="95"/>
      <c r="J450" s="100"/>
    </row>
    <row r="451">
      <c r="H451" s="95"/>
      <c r="J451" s="100"/>
    </row>
    <row r="452">
      <c r="H452" s="95"/>
      <c r="J452" s="100"/>
    </row>
    <row r="453">
      <c r="H453" s="95"/>
      <c r="J453" s="100"/>
    </row>
    <row r="454">
      <c r="H454" s="95"/>
      <c r="J454" s="100"/>
    </row>
    <row r="455">
      <c r="H455" s="95"/>
      <c r="J455" s="100"/>
    </row>
    <row r="456">
      <c r="H456" s="95"/>
      <c r="J456" s="100"/>
    </row>
    <row r="457">
      <c r="H457" s="95"/>
      <c r="J457" s="100"/>
    </row>
    <row r="458">
      <c r="H458" s="95"/>
      <c r="J458" s="100"/>
    </row>
    <row r="459">
      <c r="H459" s="95"/>
      <c r="J459" s="100"/>
    </row>
    <row r="460">
      <c r="H460" s="95"/>
      <c r="J460" s="100"/>
    </row>
    <row r="461">
      <c r="H461" s="95"/>
      <c r="J461" s="100"/>
    </row>
    <row r="462">
      <c r="H462" s="95"/>
      <c r="J462" s="100"/>
    </row>
    <row r="463">
      <c r="H463" s="95"/>
      <c r="J463" s="100"/>
    </row>
    <row r="464">
      <c r="H464" s="95"/>
      <c r="J464" s="100"/>
    </row>
    <row r="465">
      <c r="H465" s="95"/>
      <c r="J465" s="100"/>
    </row>
    <row r="466">
      <c r="H466" s="95"/>
      <c r="J466" s="100"/>
    </row>
    <row r="467">
      <c r="H467" s="95"/>
      <c r="J467" s="100"/>
    </row>
    <row r="468">
      <c r="H468" s="95"/>
      <c r="J468" s="100"/>
    </row>
    <row r="469">
      <c r="H469" s="95"/>
      <c r="J469" s="100"/>
    </row>
    <row r="470">
      <c r="H470" s="95"/>
      <c r="J470" s="100"/>
    </row>
    <row r="471">
      <c r="H471" s="95"/>
      <c r="J471" s="100"/>
    </row>
    <row r="472">
      <c r="H472" s="95"/>
      <c r="J472" s="100"/>
    </row>
    <row r="473">
      <c r="H473" s="95"/>
      <c r="J473" s="100"/>
    </row>
    <row r="474">
      <c r="H474" s="95"/>
      <c r="J474" s="100"/>
    </row>
    <row r="475">
      <c r="H475" s="95"/>
      <c r="J475" s="100"/>
    </row>
    <row r="476">
      <c r="H476" s="95"/>
      <c r="J476" s="100"/>
    </row>
    <row r="477">
      <c r="H477" s="95"/>
      <c r="J477" s="100"/>
    </row>
    <row r="478">
      <c r="H478" s="95"/>
      <c r="J478" s="100"/>
    </row>
    <row r="479">
      <c r="H479" s="95"/>
      <c r="J479" s="100"/>
    </row>
    <row r="480">
      <c r="H480" s="95"/>
      <c r="J480" s="100"/>
    </row>
    <row r="481">
      <c r="H481" s="95"/>
      <c r="J481" s="100"/>
    </row>
    <row r="482">
      <c r="H482" s="95"/>
      <c r="J482" s="100"/>
    </row>
    <row r="483">
      <c r="H483" s="95"/>
      <c r="J483" s="100"/>
    </row>
    <row r="484">
      <c r="H484" s="95"/>
      <c r="J484" s="100"/>
    </row>
    <row r="485">
      <c r="H485" s="95"/>
      <c r="J485" s="100"/>
    </row>
    <row r="486">
      <c r="H486" s="95"/>
      <c r="J486" s="100"/>
    </row>
    <row r="487">
      <c r="H487" s="95"/>
      <c r="J487" s="100"/>
    </row>
    <row r="488">
      <c r="H488" s="95"/>
      <c r="J488" s="100"/>
    </row>
    <row r="489">
      <c r="H489" s="95"/>
      <c r="J489" s="100"/>
    </row>
    <row r="490">
      <c r="H490" s="95"/>
      <c r="J490" s="100"/>
    </row>
    <row r="491">
      <c r="H491" s="95"/>
      <c r="J491" s="100"/>
    </row>
    <row r="492">
      <c r="H492" s="95"/>
      <c r="J492" s="100"/>
    </row>
    <row r="493">
      <c r="H493" s="95"/>
      <c r="J493" s="100"/>
    </row>
    <row r="494">
      <c r="H494" s="95"/>
      <c r="J494" s="100"/>
    </row>
    <row r="495">
      <c r="H495" s="95"/>
      <c r="J495" s="100"/>
    </row>
    <row r="496">
      <c r="H496" s="95"/>
      <c r="J496" s="100"/>
    </row>
    <row r="497">
      <c r="H497" s="95"/>
      <c r="J497" s="100"/>
    </row>
    <row r="498">
      <c r="H498" s="95"/>
      <c r="J498" s="100"/>
    </row>
    <row r="499">
      <c r="H499" s="95"/>
      <c r="J499" s="100"/>
    </row>
    <row r="500">
      <c r="H500" s="95"/>
      <c r="J500" s="100"/>
    </row>
    <row r="501">
      <c r="H501" s="95"/>
      <c r="J501" s="100"/>
    </row>
    <row r="502">
      <c r="H502" s="95"/>
      <c r="J502" s="100"/>
    </row>
    <row r="503">
      <c r="H503" s="95"/>
      <c r="J503" s="100"/>
    </row>
    <row r="504">
      <c r="H504" s="95"/>
      <c r="J504" s="100"/>
    </row>
    <row r="505">
      <c r="H505" s="95"/>
      <c r="J505" s="100"/>
    </row>
    <row r="506">
      <c r="H506" s="95"/>
      <c r="J506" s="100"/>
    </row>
    <row r="507">
      <c r="H507" s="95"/>
      <c r="J507" s="100"/>
    </row>
    <row r="508">
      <c r="H508" s="95"/>
      <c r="J508" s="100"/>
    </row>
    <row r="509">
      <c r="H509" s="95"/>
      <c r="J509" s="100"/>
    </row>
    <row r="510">
      <c r="H510" s="95"/>
      <c r="J510" s="100"/>
    </row>
    <row r="511">
      <c r="H511" s="95"/>
      <c r="J511" s="100"/>
    </row>
    <row r="512">
      <c r="H512" s="95"/>
      <c r="J512" s="100"/>
    </row>
    <row r="513">
      <c r="H513" s="95"/>
      <c r="J513" s="100"/>
    </row>
    <row r="514">
      <c r="H514" s="95"/>
      <c r="J514" s="100"/>
    </row>
    <row r="515">
      <c r="H515" s="95"/>
      <c r="J515" s="100"/>
    </row>
    <row r="516">
      <c r="H516" s="95"/>
      <c r="J516" s="100"/>
    </row>
    <row r="517">
      <c r="H517" s="95"/>
      <c r="J517" s="100"/>
    </row>
    <row r="518">
      <c r="H518" s="95"/>
      <c r="J518" s="100"/>
    </row>
    <row r="519">
      <c r="H519" s="95"/>
      <c r="J519" s="100"/>
    </row>
    <row r="520">
      <c r="H520" s="95"/>
      <c r="J520" s="100"/>
    </row>
    <row r="521">
      <c r="H521" s="95"/>
      <c r="J521" s="100"/>
    </row>
    <row r="522">
      <c r="H522" s="95"/>
      <c r="J522" s="100"/>
    </row>
    <row r="523">
      <c r="H523" s="95"/>
      <c r="J523" s="100"/>
    </row>
    <row r="524">
      <c r="H524" s="95"/>
      <c r="J524" s="100"/>
    </row>
    <row r="525">
      <c r="H525" s="95"/>
      <c r="J525" s="100"/>
    </row>
    <row r="526">
      <c r="H526" s="95"/>
      <c r="J526" s="100"/>
    </row>
    <row r="527">
      <c r="H527" s="95"/>
      <c r="J527" s="100"/>
    </row>
    <row r="528">
      <c r="H528" s="95"/>
      <c r="J528" s="100"/>
    </row>
    <row r="529">
      <c r="H529" s="95"/>
      <c r="J529" s="100"/>
    </row>
    <row r="530">
      <c r="H530" s="95"/>
      <c r="J530" s="100"/>
    </row>
    <row r="531">
      <c r="H531" s="95"/>
      <c r="J531" s="100"/>
    </row>
    <row r="532">
      <c r="H532" s="95"/>
      <c r="J532" s="100"/>
    </row>
    <row r="533">
      <c r="H533" s="95"/>
      <c r="J533" s="100"/>
    </row>
    <row r="534">
      <c r="H534" s="95"/>
      <c r="J534" s="100"/>
    </row>
    <row r="535">
      <c r="H535" s="95"/>
      <c r="J535" s="100"/>
    </row>
    <row r="536">
      <c r="H536" s="95"/>
      <c r="J536" s="100"/>
    </row>
    <row r="537">
      <c r="H537" s="95"/>
      <c r="J537" s="100"/>
    </row>
    <row r="538">
      <c r="H538" s="95"/>
      <c r="J538" s="100"/>
    </row>
    <row r="539">
      <c r="H539" s="95"/>
      <c r="J539" s="100"/>
    </row>
    <row r="540">
      <c r="H540" s="95"/>
      <c r="J540" s="100"/>
    </row>
    <row r="541">
      <c r="H541" s="95"/>
      <c r="J541" s="100"/>
    </row>
    <row r="542">
      <c r="H542" s="95"/>
      <c r="J542" s="100"/>
    </row>
    <row r="543">
      <c r="H543" s="95"/>
      <c r="J543" s="100"/>
    </row>
    <row r="544">
      <c r="H544" s="95"/>
      <c r="J544" s="100"/>
    </row>
    <row r="545">
      <c r="H545" s="95"/>
      <c r="J545" s="100"/>
    </row>
    <row r="546">
      <c r="H546" s="95"/>
      <c r="J546" s="100"/>
    </row>
    <row r="547">
      <c r="H547" s="95"/>
      <c r="J547" s="100"/>
    </row>
    <row r="548">
      <c r="H548" s="95"/>
      <c r="J548" s="100"/>
    </row>
    <row r="549">
      <c r="H549" s="95"/>
      <c r="J549" s="100"/>
    </row>
    <row r="550">
      <c r="H550" s="95"/>
      <c r="J550" s="100"/>
    </row>
    <row r="551">
      <c r="H551" s="95"/>
      <c r="J551" s="100"/>
    </row>
    <row r="552">
      <c r="H552" s="95"/>
      <c r="J552" s="100"/>
    </row>
    <row r="553">
      <c r="H553" s="95"/>
      <c r="J553" s="100"/>
    </row>
    <row r="554">
      <c r="H554" s="95"/>
      <c r="J554" s="100"/>
    </row>
    <row r="555">
      <c r="H555" s="95"/>
      <c r="J555" s="100"/>
    </row>
    <row r="556">
      <c r="H556" s="95"/>
      <c r="J556" s="100"/>
    </row>
    <row r="557">
      <c r="H557" s="95"/>
      <c r="J557" s="100"/>
    </row>
    <row r="558">
      <c r="H558" s="95"/>
      <c r="J558" s="100"/>
    </row>
    <row r="559">
      <c r="H559" s="95"/>
      <c r="J559" s="100"/>
    </row>
    <row r="560">
      <c r="H560" s="95"/>
      <c r="J560" s="100"/>
    </row>
    <row r="561">
      <c r="H561" s="95"/>
      <c r="J561" s="100"/>
    </row>
    <row r="562">
      <c r="H562" s="95"/>
      <c r="J562" s="100"/>
    </row>
    <row r="563">
      <c r="H563" s="95"/>
      <c r="J563" s="100"/>
    </row>
    <row r="564">
      <c r="H564" s="95"/>
      <c r="J564" s="100"/>
    </row>
    <row r="565">
      <c r="H565" s="95"/>
      <c r="J565" s="100"/>
    </row>
    <row r="566">
      <c r="H566" s="95"/>
      <c r="J566" s="100"/>
    </row>
    <row r="567">
      <c r="H567" s="95"/>
      <c r="J567" s="100"/>
    </row>
    <row r="568">
      <c r="H568" s="95"/>
      <c r="J568" s="100"/>
    </row>
    <row r="569">
      <c r="H569" s="95"/>
      <c r="J569" s="100"/>
    </row>
    <row r="570">
      <c r="H570" s="95"/>
      <c r="J570" s="100"/>
    </row>
    <row r="571">
      <c r="H571" s="95"/>
      <c r="J571" s="100"/>
    </row>
    <row r="572">
      <c r="H572" s="95"/>
      <c r="J572" s="100"/>
    </row>
    <row r="573">
      <c r="H573" s="95"/>
      <c r="J573" s="100"/>
    </row>
    <row r="574">
      <c r="H574" s="95"/>
      <c r="J574" s="100"/>
    </row>
    <row r="575">
      <c r="H575" s="95"/>
      <c r="J575" s="100"/>
    </row>
    <row r="576">
      <c r="H576" s="95"/>
      <c r="J576" s="100"/>
    </row>
    <row r="577">
      <c r="H577" s="95"/>
      <c r="J577" s="100"/>
    </row>
    <row r="578">
      <c r="H578" s="95"/>
      <c r="J578" s="100"/>
    </row>
    <row r="579">
      <c r="H579" s="95"/>
      <c r="J579" s="100"/>
    </row>
    <row r="580">
      <c r="H580" s="95"/>
      <c r="J580" s="100"/>
    </row>
    <row r="581">
      <c r="H581" s="95"/>
      <c r="J581" s="100"/>
    </row>
    <row r="582">
      <c r="H582" s="95"/>
      <c r="J582" s="100"/>
    </row>
    <row r="583">
      <c r="H583" s="95"/>
      <c r="J583" s="100"/>
    </row>
    <row r="584">
      <c r="H584" s="95"/>
      <c r="J584" s="100"/>
    </row>
    <row r="585">
      <c r="H585" s="95"/>
      <c r="J585" s="100"/>
    </row>
    <row r="586">
      <c r="H586" s="95"/>
      <c r="J586" s="100"/>
    </row>
    <row r="587">
      <c r="H587" s="95"/>
      <c r="J587" s="100"/>
    </row>
    <row r="588">
      <c r="H588" s="95"/>
      <c r="J588" s="100"/>
    </row>
    <row r="589">
      <c r="H589" s="95"/>
      <c r="J589" s="100"/>
    </row>
    <row r="590">
      <c r="H590" s="95"/>
      <c r="J590" s="100"/>
    </row>
    <row r="591">
      <c r="H591" s="95"/>
      <c r="J591" s="100"/>
    </row>
    <row r="592">
      <c r="H592" s="95"/>
      <c r="J592" s="100"/>
    </row>
    <row r="593">
      <c r="H593" s="95"/>
      <c r="J593" s="100"/>
    </row>
    <row r="594">
      <c r="H594" s="95"/>
      <c r="J594" s="100"/>
    </row>
    <row r="595">
      <c r="H595" s="95"/>
      <c r="J595" s="100"/>
    </row>
    <row r="596">
      <c r="H596" s="95"/>
      <c r="J596" s="100"/>
    </row>
    <row r="597">
      <c r="H597" s="95"/>
      <c r="J597" s="100"/>
    </row>
    <row r="598">
      <c r="H598" s="95"/>
      <c r="J598" s="100"/>
    </row>
    <row r="599">
      <c r="H599" s="95"/>
      <c r="J599" s="100"/>
    </row>
    <row r="600">
      <c r="H600" s="95"/>
      <c r="J600" s="100"/>
    </row>
    <row r="601">
      <c r="H601" s="95"/>
      <c r="J601" s="100"/>
    </row>
    <row r="602">
      <c r="H602" s="95"/>
      <c r="J602" s="100"/>
    </row>
    <row r="603">
      <c r="H603" s="95"/>
      <c r="J603" s="100"/>
    </row>
    <row r="604">
      <c r="H604" s="95"/>
      <c r="J604" s="100"/>
    </row>
    <row r="605">
      <c r="H605" s="95"/>
      <c r="J605" s="100"/>
    </row>
    <row r="606">
      <c r="H606" s="95"/>
      <c r="J606" s="100"/>
    </row>
    <row r="607">
      <c r="H607" s="95"/>
      <c r="J607" s="100"/>
    </row>
    <row r="608">
      <c r="H608" s="95"/>
      <c r="J608" s="100"/>
    </row>
    <row r="609">
      <c r="H609" s="95"/>
      <c r="J609" s="100"/>
    </row>
    <row r="610">
      <c r="H610" s="95"/>
      <c r="J610" s="100"/>
    </row>
    <row r="611">
      <c r="H611" s="95"/>
      <c r="J611" s="100"/>
    </row>
    <row r="612">
      <c r="H612" s="95"/>
      <c r="J612" s="100"/>
    </row>
    <row r="613">
      <c r="H613" s="95"/>
      <c r="J613" s="100"/>
    </row>
    <row r="614">
      <c r="H614" s="95"/>
      <c r="J614" s="100"/>
    </row>
    <row r="615">
      <c r="H615" s="95"/>
      <c r="J615" s="100"/>
    </row>
    <row r="616">
      <c r="H616" s="95"/>
      <c r="J616" s="100"/>
    </row>
    <row r="617">
      <c r="H617" s="95"/>
      <c r="J617" s="100"/>
    </row>
    <row r="618">
      <c r="H618" s="95"/>
      <c r="J618" s="100"/>
    </row>
    <row r="619">
      <c r="H619" s="95"/>
      <c r="J619" s="100"/>
    </row>
    <row r="620">
      <c r="H620" s="95"/>
      <c r="J620" s="100"/>
    </row>
    <row r="621">
      <c r="H621" s="95"/>
      <c r="J621" s="100"/>
    </row>
    <row r="622">
      <c r="H622" s="95"/>
      <c r="J622" s="100"/>
    </row>
    <row r="623">
      <c r="H623" s="95"/>
      <c r="J623" s="100"/>
    </row>
    <row r="624">
      <c r="H624" s="95"/>
      <c r="J624" s="100"/>
    </row>
    <row r="625">
      <c r="H625" s="95"/>
      <c r="J625" s="100"/>
    </row>
    <row r="626">
      <c r="H626" s="95"/>
      <c r="J626" s="100"/>
    </row>
    <row r="627">
      <c r="H627" s="95"/>
      <c r="J627" s="100"/>
    </row>
    <row r="628">
      <c r="H628" s="95"/>
      <c r="J628" s="100"/>
    </row>
    <row r="629">
      <c r="H629" s="95"/>
      <c r="J629" s="100"/>
    </row>
    <row r="630">
      <c r="H630" s="95"/>
      <c r="J630" s="100"/>
    </row>
    <row r="631">
      <c r="H631" s="95"/>
      <c r="J631" s="100"/>
    </row>
    <row r="632">
      <c r="H632" s="95"/>
      <c r="J632" s="100"/>
    </row>
    <row r="633">
      <c r="H633" s="95"/>
      <c r="J633" s="100"/>
    </row>
    <row r="634">
      <c r="H634" s="95"/>
      <c r="J634" s="100"/>
    </row>
    <row r="635">
      <c r="H635" s="95"/>
      <c r="J635" s="100"/>
    </row>
    <row r="636">
      <c r="H636" s="95"/>
      <c r="J636" s="100"/>
    </row>
    <row r="637">
      <c r="H637" s="95"/>
      <c r="J637" s="100"/>
    </row>
    <row r="638">
      <c r="H638" s="95"/>
      <c r="J638" s="100"/>
    </row>
    <row r="639">
      <c r="H639" s="95"/>
      <c r="J639" s="100"/>
    </row>
    <row r="640">
      <c r="H640" s="95"/>
      <c r="J640" s="100"/>
    </row>
    <row r="641">
      <c r="H641" s="95"/>
      <c r="J641" s="100"/>
    </row>
    <row r="642">
      <c r="H642" s="95"/>
      <c r="J642" s="100"/>
    </row>
    <row r="643">
      <c r="H643" s="95"/>
      <c r="J643" s="100"/>
    </row>
    <row r="644">
      <c r="H644" s="95"/>
      <c r="J644" s="100"/>
    </row>
    <row r="645">
      <c r="H645" s="95"/>
      <c r="J645" s="100"/>
    </row>
    <row r="646">
      <c r="H646" s="95"/>
      <c r="J646" s="100"/>
    </row>
    <row r="647">
      <c r="H647" s="95"/>
      <c r="J647" s="100"/>
    </row>
    <row r="648">
      <c r="H648" s="95"/>
      <c r="J648" s="100"/>
    </row>
    <row r="649">
      <c r="H649" s="95"/>
      <c r="J649" s="100"/>
    </row>
    <row r="650">
      <c r="H650" s="95"/>
      <c r="J650" s="100"/>
    </row>
    <row r="651">
      <c r="H651" s="95"/>
      <c r="J651" s="100"/>
    </row>
    <row r="652">
      <c r="H652" s="95"/>
      <c r="J652" s="100"/>
    </row>
    <row r="653">
      <c r="H653" s="95"/>
      <c r="J653" s="100"/>
    </row>
    <row r="654">
      <c r="H654" s="95"/>
      <c r="J654" s="100"/>
    </row>
    <row r="655">
      <c r="H655" s="95"/>
      <c r="J655" s="100"/>
    </row>
    <row r="656">
      <c r="H656" s="95"/>
      <c r="J656" s="100"/>
    </row>
    <row r="657">
      <c r="H657" s="95"/>
      <c r="J657" s="100"/>
    </row>
    <row r="658">
      <c r="H658" s="95"/>
      <c r="J658" s="100"/>
    </row>
    <row r="659">
      <c r="H659" s="95"/>
      <c r="J659" s="100"/>
    </row>
    <row r="660">
      <c r="H660" s="95"/>
      <c r="J660" s="100"/>
    </row>
    <row r="661">
      <c r="H661" s="95"/>
      <c r="J661" s="100"/>
    </row>
    <row r="662">
      <c r="H662" s="95"/>
      <c r="J662" s="100"/>
    </row>
    <row r="663">
      <c r="H663" s="95"/>
      <c r="J663" s="100"/>
    </row>
    <row r="664">
      <c r="H664" s="95"/>
      <c r="J664" s="100"/>
    </row>
    <row r="665">
      <c r="H665" s="95"/>
      <c r="J665" s="100"/>
    </row>
    <row r="666">
      <c r="H666" s="95"/>
      <c r="J666" s="100"/>
    </row>
    <row r="667">
      <c r="H667" s="95"/>
      <c r="J667" s="100"/>
    </row>
    <row r="668">
      <c r="H668" s="95"/>
      <c r="J668" s="100"/>
    </row>
    <row r="669">
      <c r="H669" s="95"/>
      <c r="J669" s="100"/>
    </row>
    <row r="670">
      <c r="H670" s="95"/>
      <c r="J670" s="100"/>
    </row>
    <row r="671">
      <c r="H671" s="95"/>
      <c r="J671" s="100"/>
    </row>
    <row r="672">
      <c r="H672" s="95"/>
      <c r="J672" s="100"/>
    </row>
    <row r="673">
      <c r="H673" s="95"/>
      <c r="J673" s="100"/>
    </row>
    <row r="674">
      <c r="H674" s="95"/>
      <c r="J674" s="100"/>
    </row>
    <row r="675">
      <c r="H675" s="95"/>
      <c r="J675" s="100"/>
    </row>
    <row r="676">
      <c r="H676" s="95"/>
      <c r="J676" s="100"/>
    </row>
    <row r="677">
      <c r="H677" s="95"/>
      <c r="J677" s="100"/>
    </row>
    <row r="678">
      <c r="H678" s="95"/>
      <c r="J678" s="100"/>
    </row>
    <row r="679">
      <c r="H679" s="95"/>
      <c r="J679" s="100"/>
    </row>
    <row r="680">
      <c r="H680" s="95"/>
      <c r="J680" s="100"/>
    </row>
    <row r="681">
      <c r="H681" s="95"/>
      <c r="J681" s="100"/>
    </row>
    <row r="682">
      <c r="H682" s="95"/>
      <c r="J682" s="100"/>
    </row>
    <row r="683">
      <c r="H683" s="95"/>
      <c r="J683" s="100"/>
    </row>
    <row r="684">
      <c r="H684" s="95"/>
      <c r="J684" s="100"/>
    </row>
    <row r="685">
      <c r="H685" s="95"/>
      <c r="J685" s="100"/>
    </row>
    <row r="686">
      <c r="H686" s="95"/>
      <c r="J686" s="100"/>
    </row>
    <row r="687">
      <c r="H687" s="95"/>
      <c r="J687" s="100"/>
    </row>
    <row r="688">
      <c r="H688" s="95"/>
      <c r="J688" s="100"/>
    </row>
    <row r="689">
      <c r="H689" s="95"/>
      <c r="J689" s="100"/>
    </row>
    <row r="690">
      <c r="H690" s="95"/>
      <c r="J690" s="100"/>
    </row>
    <row r="691">
      <c r="H691" s="95"/>
      <c r="J691" s="100"/>
    </row>
    <row r="692">
      <c r="H692" s="95"/>
      <c r="J692" s="100"/>
    </row>
    <row r="693">
      <c r="H693" s="95"/>
      <c r="J693" s="100"/>
    </row>
    <row r="694">
      <c r="H694" s="95"/>
      <c r="J694" s="100"/>
    </row>
    <row r="695">
      <c r="H695" s="95"/>
      <c r="J695" s="100"/>
    </row>
    <row r="696">
      <c r="H696" s="95"/>
      <c r="J696" s="100"/>
    </row>
    <row r="697">
      <c r="H697" s="95"/>
      <c r="J697" s="100"/>
    </row>
    <row r="698">
      <c r="H698" s="95"/>
      <c r="J698" s="100"/>
    </row>
    <row r="699">
      <c r="H699" s="95"/>
      <c r="J699" s="100"/>
    </row>
    <row r="700">
      <c r="H700" s="95"/>
      <c r="J700" s="100"/>
    </row>
    <row r="701">
      <c r="H701" s="95"/>
      <c r="J701" s="100"/>
    </row>
    <row r="702">
      <c r="H702" s="95"/>
      <c r="J702" s="100"/>
    </row>
    <row r="703">
      <c r="H703" s="95"/>
      <c r="J703" s="100"/>
    </row>
    <row r="704">
      <c r="H704" s="95"/>
      <c r="J704" s="100"/>
    </row>
    <row r="705">
      <c r="H705" s="95"/>
      <c r="J705" s="100"/>
    </row>
    <row r="706">
      <c r="H706" s="95"/>
      <c r="J706" s="100"/>
    </row>
    <row r="707">
      <c r="H707" s="95"/>
      <c r="J707" s="100"/>
    </row>
    <row r="708">
      <c r="H708" s="95"/>
      <c r="J708" s="100"/>
    </row>
    <row r="709">
      <c r="H709" s="95"/>
      <c r="J709" s="100"/>
    </row>
    <row r="710">
      <c r="H710" s="95"/>
      <c r="J710" s="100"/>
    </row>
    <row r="711">
      <c r="H711" s="95"/>
      <c r="J711" s="100"/>
    </row>
    <row r="712">
      <c r="H712" s="95"/>
      <c r="J712" s="100"/>
    </row>
    <row r="713">
      <c r="H713" s="95"/>
      <c r="J713" s="100"/>
    </row>
    <row r="714">
      <c r="H714" s="95"/>
      <c r="J714" s="100"/>
    </row>
    <row r="715">
      <c r="H715" s="95"/>
      <c r="J715" s="100"/>
    </row>
    <row r="716">
      <c r="H716" s="95"/>
      <c r="J716" s="100"/>
    </row>
    <row r="717">
      <c r="H717" s="95"/>
      <c r="J717" s="100"/>
    </row>
    <row r="718">
      <c r="H718" s="95"/>
      <c r="J718" s="100"/>
    </row>
    <row r="719">
      <c r="H719" s="95"/>
      <c r="J719" s="100"/>
    </row>
    <row r="720">
      <c r="H720" s="95"/>
      <c r="J720" s="100"/>
    </row>
    <row r="721">
      <c r="H721" s="95"/>
      <c r="J721" s="100"/>
    </row>
    <row r="722">
      <c r="H722" s="95"/>
      <c r="J722" s="100"/>
    </row>
    <row r="723">
      <c r="H723" s="95"/>
      <c r="J723" s="100"/>
    </row>
    <row r="724">
      <c r="H724" s="95"/>
      <c r="J724" s="100"/>
    </row>
    <row r="725">
      <c r="H725" s="95"/>
      <c r="J725" s="100"/>
    </row>
    <row r="726">
      <c r="H726" s="95"/>
      <c r="J726" s="100"/>
    </row>
    <row r="727">
      <c r="H727" s="95"/>
      <c r="J727" s="100"/>
    </row>
    <row r="728">
      <c r="H728" s="95"/>
      <c r="J728" s="100"/>
    </row>
    <row r="729">
      <c r="H729" s="95"/>
      <c r="J729" s="100"/>
    </row>
    <row r="730">
      <c r="H730" s="95"/>
      <c r="J730" s="100"/>
    </row>
    <row r="731">
      <c r="H731" s="95"/>
      <c r="J731" s="100"/>
    </row>
    <row r="732">
      <c r="H732" s="95"/>
      <c r="J732" s="100"/>
    </row>
    <row r="733">
      <c r="H733" s="95"/>
      <c r="J733" s="100"/>
    </row>
    <row r="734">
      <c r="H734" s="95"/>
      <c r="J734" s="100"/>
    </row>
    <row r="735">
      <c r="H735" s="95"/>
      <c r="J735" s="100"/>
    </row>
    <row r="736">
      <c r="H736" s="95"/>
      <c r="J736" s="100"/>
    </row>
    <row r="737">
      <c r="H737" s="95"/>
      <c r="J737" s="100"/>
    </row>
    <row r="738">
      <c r="H738" s="95"/>
      <c r="J738" s="100"/>
    </row>
    <row r="739">
      <c r="H739" s="95"/>
      <c r="J739" s="100"/>
    </row>
    <row r="740">
      <c r="H740" s="95"/>
      <c r="J740" s="100"/>
    </row>
    <row r="741">
      <c r="H741" s="95"/>
      <c r="J741" s="100"/>
    </row>
    <row r="742">
      <c r="H742" s="95"/>
      <c r="J742" s="100"/>
    </row>
    <row r="743">
      <c r="H743" s="95"/>
      <c r="J743" s="100"/>
    </row>
    <row r="744">
      <c r="H744" s="95"/>
      <c r="J744" s="100"/>
    </row>
    <row r="745">
      <c r="H745" s="95"/>
      <c r="J745" s="100"/>
    </row>
    <row r="746">
      <c r="H746" s="95"/>
      <c r="J746" s="100"/>
    </row>
    <row r="747">
      <c r="H747" s="95"/>
      <c r="J747" s="100"/>
    </row>
    <row r="748">
      <c r="H748" s="95"/>
      <c r="J748" s="100"/>
    </row>
    <row r="749">
      <c r="H749" s="95"/>
      <c r="J749" s="100"/>
    </row>
    <row r="750">
      <c r="H750" s="95"/>
      <c r="J750" s="100"/>
    </row>
    <row r="751">
      <c r="H751" s="95"/>
      <c r="J751" s="100"/>
    </row>
    <row r="752">
      <c r="H752" s="95"/>
      <c r="J752" s="100"/>
    </row>
    <row r="753">
      <c r="H753" s="95"/>
      <c r="J753" s="100"/>
    </row>
    <row r="754">
      <c r="H754" s="95"/>
      <c r="J754" s="100"/>
    </row>
    <row r="755">
      <c r="H755" s="95"/>
      <c r="J755" s="100"/>
    </row>
    <row r="756">
      <c r="H756" s="95"/>
      <c r="J756" s="100"/>
    </row>
    <row r="757">
      <c r="H757" s="95"/>
      <c r="J757" s="100"/>
    </row>
    <row r="758">
      <c r="H758" s="95"/>
      <c r="J758" s="100"/>
    </row>
    <row r="759">
      <c r="H759" s="95"/>
      <c r="J759" s="100"/>
    </row>
    <row r="760">
      <c r="H760" s="95"/>
      <c r="J760" s="100"/>
    </row>
    <row r="761">
      <c r="H761" s="95"/>
      <c r="J761" s="100"/>
    </row>
    <row r="762">
      <c r="H762" s="95"/>
      <c r="J762" s="100"/>
    </row>
    <row r="763">
      <c r="H763" s="95"/>
      <c r="J763" s="100"/>
    </row>
    <row r="764">
      <c r="H764" s="95"/>
      <c r="J764" s="100"/>
    </row>
    <row r="765">
      <c r="H765" s="95"/>
      <c r="J765" s="100"/>
    </row>
    <row r="766">
      <c r="H766" s="95"/>
      <c r="J766" s="100"/>
    </row>
    <row r="767">
      <c r="H767" s="95"/>
      <c r="J767" s="100"/>
    </row>
    <row r="768">
      <c r="H768" s="95"/>
      <c r="J768" s="100"/>
    </row>
    <row r="769">
      <c r="H769" s="95"/>
      <c r="J769" s="100"/>
    </row>
    <row r="770">
      <c r="H770" s="95"/>
      <c r="J770" s="100"/>
    </row>
    <row r="771">
      <c r="H771" s="95"/>
      <c r="J771" s="100"/>
    </row>
    <row r="772">
      <c r="H772" s="95"/>
      <c r="J772" s="100"/>
    </row>
    <row r="773">
      <c r="H773" s="95"/>
      <c r="J773" s="100"/>
    </row>
    <row r="774">
      <c r="H774" s="95"/>
      <c r="J774" s="100"/>
    </row>
    <row r="775">
      <c r="H775" s="95"/>
      <c r="J775" s="100"/>
    </row>
    <row r="776">
      <c r="H776" s="95"/>
      <c r="J776" s="100"/>
    </row>
    <row r="777">
      <c r="H777" s="95"/>
      <c r="J777" s="100"/>
    </row>
    <row r="778">
      <c r="H778" s="95"/>
      <c r="J778" s="100"/>
    </row>
    <row r="779">
      <c r="H779" s="95"/>
      <c r="J779" s="100"/>
    </row>
    <row r="780">
      <c r="H780" s="95"/>
      <c r="J780" s="100"/>
    </row>
    <row r="781">
      <c r="H781" s="95"/>
      <c r="J781" s="100"/>
    </row>
    <row r="782">
      <c r="H782" s="95"/>
      <c r="J782" s="100"/>
    </row>
    <row r="783">
      <c r="H783" s="95"/>
      <c r="J783" s="100"/>
    </row>
    <row r="784">
      <c r="H784" s="95"/>
      <c r="J784" s="100"/>
    </row>
    <row r="785">
      <c r="H785" s="95"/>
      <c r="J785" s="100"/>
    </row>
    <row r="786">
      <c r="H786" s="95"/>
      <c r="J786" s="100"/>
    </row>
    <row r="787">
      <c r="H787" s="95"/>
      <c r="J787" s="100"/>
    </row>
    <row r="788">
      <c r="H788" s="95"/>
      <c r="J788" s="100"/>
    </row>
    <row r="789">
      <c r="H789" s="95"/>
      <c r="J789" s="100"/>
    </row>
    <row r="790">
      <c r="H790" s="95"/>
      <c r="J790" s="100"/>
    </row>
    <row r="791">
      <c r="H791" s="95"/>
      <c r="J791" s="100"/>
    </row>
    <row r="792">
      <c r="H792" s="95"/>
      <c r="J792" s="100"/>
    </row>
    <row r="793">
      <c r="H793" s="95"/>
      <c r="J793" s="100"/>
    </row>
    <row r="794">
      <c r="H794" s="95"/>
      <c r="J794" s="100"/>
    </row>
    <row r="795">
      <c r="H795" s="95"/>
      <c r="J795" s="100"/>
    </row>
    <row r="796">
      <c r="H796" s="95"/>
      <c r="J796" s="100"/>
    </row>
    <row r="797">
      <c r="H797" s="95"/>
      <c r="J797" s="100"/>
    </row>
    <row r="798">
      <c r="H798" s="95"/>
      <c r="J798" s="100"/>
    </row>
    <row r="799">
      <c r="H799" s="95"/>
      <c r="J799" s="100"/>
    </row>
    <row r="800">
      <c r="H800" s="95"/>
      <c r="J800" s="100"/>
    </row>
    <row r="801">
      <c r="H801" s="95"/>
      <c r="J801" s="100"/>
    </row>
    <row r="802">
      <c r="H802" s="95"/>
      <c r="J802" s="100"/>
    </row>
    <row r="803">
      <c r="H803" s="95"/>
      <c r="J803" s="100"/>
    </row>
    <row r="804">
      <c r="H804" s="95"/>
      <c r="J804" s="100"/>
    </row>
    <row r="805">
      <c r="H805" s="95"/>
      <c r="J805" s="100"/>
    </row>
    <row r="806">
      <c r="H806" s="95"/>
      <c r="J806" s="100"/>
    </row>
    <row r="807">
      <c r="H807" s="95"/>
      <c r="J807" s="100"/>
    </row>
    <row r="808">
      <c r="H808" s="95"/>
      <c r="J808" s="100"/>
    </row>
    <row r="809">
      <c r="H809" s="95"/>
      <c r="J809" s="100"/>
    </row>
    <row r="810">
      <c r="H810" s="95"/>
      <c r="J810" s="100"/>
    </row>
    <row r="811">
      <c r="H811" s="95"/>
      <c r="J811" s="100"/>
    </row>
    <row r="812">
      <c r="H812" s="95"/>
      <c r="J812" s="100"/>
    </row>
    <row r="813">
      <c r="H813" s="95"/>
      <c r="J813" s="100"/>
    </row>
    <row r="814">
      <c r="H814" s="95"/>
      <c r="J814" s="100"/>
    </row>
    <row r="815">
      <c r="H815" s="95"/>
      <c r="J815" s="100"/>
    </row>
    <row r="816">
      <c r="H816" s="95"/>
      <c r="J816" s="100"/>
    </row>
    <row r="817">
      <c r="H817" s="95"/>
      <c r="J817" s="100"/>
    </row>
    <row r="818">
      <c r="H818" s="95"/>
      <c r="J818" s="100"/>
    </row>
    <row r="819">
      <c r="H819" s="95"/>
      <c r="J819" s="100"/>
    </row>
    <row r="820">
      <c r="H820" s="95"/>
      <c r="J820" s="100"/>
    </row>
    <row r="821">
      <c r="H821" s="95"/>
      <c r="J821" s="100"/>
    </row>
    <row r="822">
      <c r="H822" s="95"/>
      <c r="J822" s="100"/>
    </row>
    <row r="823">
      <c r="H823" s="95"/>
      <c r="J823" s="100"/>
    </row>
    <row r="824">
      <c r="H824" s="95"/>
      <c r="J824" s="100"/>
    </row>
    <row r="825">
      <c r="H825" s="95"/>
      <c r="J825" s="100"/>
    </row>
    <row r="826">
      <c r="H826" s="95"/>
      <c r="J826" s="100"/>
    </row>
    <row r="827">
      <c r="H827" s="95"/>
      <c r="J827" s="100"/>
    </row>
    <row r="828">
      <c r="H828" s="95"/>
      <c r="J828" s="100"/>
    </row>
    <row r="829">
      <c r="H829" s="95"/>
      <c r="J829" s="100"/>
    </row>
    <row r="830">
      <c r="H830" s="95"/>
      <c r="J830" s="100"/>
    </row>
    <row r="831">
      <c r="H831" s="95"/>
      <c r="J831" s="100"/>
    </row>
    <row r="832">
      <c r="H832" s="95"/>
      <c r="J832" s="100"/>
    </row>
    <row r="833">
      <c r="H833" s="95"/>
      <c r="J833" s="100"/>
    </row>
    <row r="834">
      <c r="H834" s="95"/>
      <c r="J834" s="100"/>
    </row>
    <row r="835">
      <c r="H835" s="95"/>
      <c r="J835" s="100"/>
    </row>
    <row r="836">
      <c r="H836" s="95"/>
      <c r="J836" s="100"/>
    </row>
    <row r="837">
      <c r="H837" s="95"/>
      <c r="J837" s="100"/>
    </row>
    <row r="838">
      <c r="H838" s="95"/>
      <c r="J838" s="100"/>
    </row>
    <row r="839">
      <c r="H839" s="95"/>
      <c r="J839" s="100"/>
    </row>
    <row r="840">
      <c r="H840" s="95"/>
      <c r="J840" s="100"/>
    </row>
    <row r="841">
      <c r="H841" s="95"/>
      <c r="J841" s="100"/>
    </row>
    <row r="842">
      <c r="H842" s="95"/>
      <c r="J842" s="100"/>
    </row>
    <row r="843">
      <c r="H843" s="95"/>
      <c r="J843" s="100"/>
    </row>
    <row r="844">
      <c r="H844" s="95"/>
      <c r="J844" s="100"/>
    </row>
    <row r="845">
      <c r="H845" s="95"/>
      <c r="J845" s="100"/>
    </row>
    <row r="846">
      <c r="H846" s="95"/>
      <c r="J846" s="100"/>
    </row>
    <row r="847">
      <c r="H847" s="95"/>
      <c r="J847" s="100"/>
    </row>
    <row r="848">
      <c r="H848" s="95"/>
      <c r="J848" s="100"/>
    </row>
    <row r="849">
      <c r="H849" s="95"/>
      <c r="J849" s="100"/>
    </row>
    <row r="850">
      <c r="H850" s="95"/>
      <c r="J850" s="100"/>
    </row>
    <row r="851">
      <c r="H851" s="95"/>
      <c r="J851" s="100"/>
    </row>
    <row r="852">
      <c r="H852" s="95"/>
      <c r="J852" s="100"/>
    </row>
    <row r="853">
      <c r="H853" s="95"/>
      <c r="J853" s="100"/>
    </row>
    <row r="854">
      <c r="H854" s="95"/>
      <c r="J854" s="100"/>
    </row>
    <row r="855">
      <c r="H855" s="95"/>
      <c r="J855" s="100"/>
    </row>
    <row r="856">
      <c r="H856" s="95"/>
      <c r="J856" s="100"/>
    </row>
    <row r="857">
      <c r="H857" s="95"/>
      <c r="J857" s="100"/>
    </row>
    <row r="858">
      <c r="H858" s="95"/>
      <c r="J858" s="100"/>
    </row>
    <row r="859">
      <c r="H859" s="95"/>
      <c r="J859" s="100"/>
    </row>
    <row r="860">
      <c r="H860" s="95"/>
      <c r="J860" s="100"/>
    </row>
    <row r="861">
      <c r="H861" s="95"/>
      <c r="J861" s="100"/>
    </row>
    <row r="862">
      <c r="H862" s="95"/>
      <c r="J862" s="100"/>
    </row>
    <row r="863">
      <c r="H863" s="95"/>
      <c r="J863" s="100"/>
    </row>
    <row r="864">
      <c r="H864" s="95"/>
      <c r="J864" s="100"/>
    </row>
    <row r="865">
      <c r="H865" s="95"/>
      <c r="J865" s="100"/>
    </row>
    <row r="866">
      <c r="H866" s="95"/>
      <c r="J866" s="100"/>
    </row>
    <row r="867">
      <c r="H867" s="95"/>
      <c r="J867" s="100"/>
    </row>
    <row r="868">
      <c r="H868" s="95"/>
      <c r="J868" s="100"/>
    </row>
    <row r="869">
      <c r="H869" s="95"/>
      <c r="J869" s="100"/>
    </row>
    <row r="870">
      <c r="H870" s="95"/>
      <c r="J870" s="100"/>
    </row>
    <row r="871">
      <c r="H871" s="95"/>
      <c r="J871" s="100"/>
    </row>
    <row r="872">
      <c r="H872" s="95"/>
      <c r="J872" s="100"/>
    </row>
    <row r="873">
      <c r="H873" s="95"/>
      <c r="J873" s="100"/>
    </row>
    <row r="874">
      <c r="H874" s="95"/>
      <c r="J874" s="100"/>
    </row>
    <row r="875">
      <c r="H875" s="95"/>
      <c r="J875" s="100"/>
    </row>
    <row r="876">
      <c r="H876" s="95"/>
      <c r="J876" s="100"/>
    </row>
    <row r="877">
      <c r="H877" s="95"/>
      <c r="J877" s="100"/>
    </row>
    <row r="878">
      <c r="H878" s="95"/>
      <c r="J878" s="100"/>
    </row>
    <row r="879">
      <c r="H879" s="95"/>
      <c r="J879" s="100"/>
    </row>
    <row r="880">
      <c r="H880" s="95"/>
      <c r="J880" s="100"/>
    </row>
    <row r="881">
      <c r="H881" s="95"/>
      <c r="J881" s="100"/>
    </row>
    <row r="882">
      <c r="H882" s="95"/>
      <c r="J882" s="100"/>
    </row>
    <row r="883">
      <c r="H883" s="95"/>
      <c r="J883" s="100"/>
    </row>
    <row r="884">
      <c r="H884" s="95"/>
      <c r="J884" s="100"/>
    </row>
    <row r="885">
      <c r="H885" s="95"/>
      <c r="J885" s="100"/>
    </row>
    <row r="886">
      <c r="H886" s="95"/>
      <c r="J886" s="100"/>
    </row>
    <row r="887">
      <c r="H887" s="95"/>
      <c r="J887" s="100"/>
    </row>
    <row r="888">
      <c r="H888" s="95"/>
      <c r="J888" s="100"/>
    </row>
    <row r="889">
      <c r="H889" s="95"/>
      <c r="J889" s="100"/>
    </row>
    <row r="890">
      <c r="H890" s="95"/>
      <c r="J890" s="100"/>
    </row>
    <row r="891">
      <c r="H891" s="95"/>
      <c r="J891" s="100"/>
    </row>
    <row r="892">
      <c r="H892" s="95"/>
      <c r="J892" s="100"/>
    </row>
    <row r="893">
      <c r="H893" s="95"/>
      <c r="J893" s="100"/>
    </row>
    <row r="894">
      <c r="H894" s="95"/>
      <c r="J894" s="100"/>
    </row>
    <row r="895">
      <c r="H895" s="95"/>
      <c r="J895" s="100"/>
    </row>
    <row r="896">
      <c r="H896" s="95"/>
      <c r="J896" s="100"/>
    </row>
    <row r="897">
      <c r="H897" s="95"/>
      <c r="J897" s="100"/>
    </row>
    <row r="898">
      <c r="H898" s="95"/>
      <c r="J898" s="100"/>
    </row>
    <row r="899">
      <c r="H899" s="95"/>
      <c r="J899" s="100"/>
    </row>
    <row r="900">
      <c r="H900" s="95"/>
      <c r="J900" s="100"/>
    </row>
    <row r="901">
      <c r="H901" s="95"/>
      <c r="J901" s="100"/>
    </row>
    <row r="902">
      <c r="H902" s="95"/>
      <c r="J902" s="100"/>
    </row>
    <row r="903">
      <c r="H903" s="95"/>
      <c r="J903" s="100"/>
    </row>
    <row r="904">
      <c r="H904" s="95"/>
      <c r="J904" s="100"/>
    </row>
    <row r="905">
      <c r="H905" s="95"/>
      <c r="J905" s="100"/>
    </row>
    <row r="906">
      <c r="H906" s="95"/>
      <c r="J906" s="100"/>
    </row>
    <row r="907">
      <c r="H907" s="95"/>
      <c r="J907" s="100"/>
    </row>
    <row r="908">
      <c r="H908" s="95"/>
      <c r="J908" s="100"/>
    </row>
    <row r="909">
      <c r="H909" s="95"/>
      <c r="J909" s="100"/>
    </row>
    <row r="910">
      <c r="H910" s="95"/>
      <c r="J910" s="100"/>
    </row>
    <row r="911">
      <c r="H911" s="95"/>
      <c r="J911" s="100"/>
    </row>
    <row r="912">
      <c r="H912" s="95"/>
      <c r="J912" s="100"/>
    </row>
    <row r="913">
      <c r="H913" s="95"/>
      <c r="J913" s="100"/>
    </row>
    <row r="914">
      <c r="H914" s="95"/>
      <c r="J914" s="100"/>
    </row>
    <row r="915">
      <c r="H915" s="95"/>
      <c r="J915" s="100"/>
    </row>
    <row r="916">
      <c r="H916" s="95"/>
      <c r="J916" s="100"/>
    </row>
    <row r="917">
      <c r="H917" s="95"/>
      <c r="J917" s="100"/>
    </row>
    <row r="918">
      <c r="H918" s="95"/>
      <c r="J918" s="100"/>
    </row>
    <row r="919">
      <c r="H919" s="95"/>
      <c r="J919" s="100"/>
    </row>
    <row r="920">
      <c r="H920" s="95"/>
      <c r="J920" s="100"/>
    </row>
    <row r="921">
      <c r="H921" s="95"/>
      <c r="J921" s="100"/>
    </row>
    <row r="922">
      <c r="H922" s="95"/>
      <c r="J922" s="100"/>
    </row>
    <row r="923">
      <c r="H923" s="95"/>
      <c r="J923" s="100"/>
    </row>
    <row r="924">
      <c r="H924" s="95"/>
      <c r="J924" s="100"/>
    </row>
    <row r="925">
      <c r="H925" s="95"/>
      <c r="J925" s="100"/>
    </row>
    <row r="926">
      <c r="H926" s="95"/>
      <c r="J926" s="100"/>
    </row>
    <row r="927">
      <c r="H927" s="95"/>
      <c r="J927" s="100"/>
    </row>
    <row r="928">
      <c r="H928" s="95"/>
      <c r="J928" s="100"/>
    </row>
    <row r="929">
      <c r="H929" s="95"/>
      <c r="J929" s="100"/>
    </row>
    <row r="930">
      <c r="H930" s="95"/>
      <c r="J930" s="100"/>
    </row>
    <row r="931">
      <c r="H931" s="95"/>
      <c r="J931" s="100"/>
    </row>
    <row r="932">
      <c r="H932" s="95"/>
      <c r="J932" s="100"/>
    </row>
    <row r="933">
      <c r="H933" s="95"/>
      <c r="J933" s="100"/>
    </row>
    <row r="934">
      <c r="H934" s="95"/>
      <c r="J934" s="100"/>
    </row>
    <row r="935">
      <c r="H935" s="95"/>
      <c r="J935" s="100"/>
    </row>
    <row r="936">
      <c r="H936" s="95"/>
      <c r="J936" s="100"/>
    </row>
    <row r="937">
      <c r="H937" s="95"/>
      <c r="J937" s="100"/>
    </row>
    <row r="938">
      <c r="H938" s="95"/>
      <c r="J938" s="100"/>
    </row>
    <row r="939">
      <c r="H939" s="95"/>
      <c r="J939" s="100"/>
    </row>
    <row r="940">
      <c r="H940" s="95"/>
      <c r="J940" s="100"/>
    </row>
    <row r="941">
      <c r="H941" s="95"/>
      <c r="J941" s="100"/>
    </row>
    <row r="942">
      <c r="H942" s="95"/>
      <c r="J942" s="100"/>
    </row>
    <row r="943">
      <c r="H943" s="95"/>
      <c r="J943" s="100"/>
    </row>
    <row r="944">
      <c r="H944" s="95"/>
      <c r="J944" s="100"/>
    </row>
    <row r="945">
      <c r="H945" s="95"/>
      <c r="J945" s="100"/>
    </row>
    <row r="946">
      <c r="H946" s="95"/>
      <c r="J946" s="100"/>
    </row>
    <row r="947">
      <c r="H947" s="95"/>
      <c r="J947" s="100"/>
    </row>
    <row r="948">
      <c r="H948" s="95"/>
      <c r="J948" s="100"/>
    </row>
    <row r="949">
      <c r="H949" s="95"/>
      <c r="J949" s="100"/>
    </row>
    <row r="950">
      <c r="H950" s="95"/>
      <c r="J950" s="100"/>
    </row>
    <row r="951">
      <c r="H951" s="95"/>
      <c r="J951" s="100"/>
    </row>
    <row r="952">
      <c r="H952" s="95"/>
      <c r="J952" s="100"/>
    </row>
    <row r="953">
      <c r="H953" s="95"/>
      <c r="J953" s="100"/>
    </row>
    <row r="954">
      <c r="H954" s="95"/>
      <c r="J954" s="100"/>
    </row>
    <row r="955">
      <c r="H955" s="95"/>
      <c r="J955" s="100"/>
    </row>
    <row r="956">
      <c r="H956" s="95"/>
      <c r="J956" s="100"/>
    </row>
    <row r="957">
      <c r="H957" s="95"/>
      <c r="J957" s="100"/>
    </row>
    <row r="958">
      <c r="H958" s="95"/>
      <c r="J958" s="100"/>
    </row>
    <row r="959">
      <c r="H959" s="95"/>
      <c r="J959" s="100"/>
    </row>
    <row r="960">
      <c r="H960" s="95"/>
      <c r="J960" s="100"/>
    </row>
    <row r="961">
      <c r="H961" s="95"/>
      <c r="J961" s="100"/>
    </row>
    <row r="962">
      <c r="H962" s="95"/>
      <c r="J962" s="100"/>
    </row>
    <row r="963">
      <c r="H963" s="95"/>
      <c r="J963" s="100"/>
    </row>
    <row r="964">
      <c r="H964" s="95"/>
      <c r="J964" s="100"/>
    </row>
    <row r="965">
      <c r="H965" s="95"/>
      <c r="J965" s="100"/>
    </row>
    <row r="966">
      <c r="H966" s="95"/>
      <c r="J966" s="100"/>
    </row>
    <row r="967">
      <c r="H967" s="95"/>
      <c r="J967" s="100"/>
    </row>
    <row r="968">
      <c r="H968" s="95"/>
      <c r="J968" s="100"/>
    </row>
    <row r="969">
      <c r="H969" s="95"/>
      <c r="J969" s="100"/>
    </row>
    <row r="970">
      <c r="H970" s="95"/>
      <c r="J970" s="100"/>
    </row>
    <row r="971">
      <c r="H971" s="95"/>
      <c r="J971" s="100"/>
    </row>
    <row r="972">
      <c r="H972" s="95"/>
      <c r="J972" s="100"/>
    </row>
    <row r="973">
      <c r="H973" s="95"/>
      <c r="J973" s="100"/>
    </row>
    <row r="974">
      <c r="H974" s="95"/>
      <c r="J974" s="100"/>
    </row>
    <row r="975">
      <c r="H975" s="95"/>
      <c r="J975" s="100"/>
    </row>
    <row r="976">
      <c r="H976" s="95"/>
      <c r="J976" s="100"/>
    </row>
    <row r="977">
      <c r="H977" s="95"/>
      <c r="J977" s="100"/>
    </row>
    <row r="978">
      <c r="H978" s="95"/>
      <c r="J978" s="100"/>
    </row>
    <row r="979">
      <c r="H979" s="95"/>
      <c r="J979" s="100"/>
    </row>
    <row r="980">
      <c r="H980" s="95"/>
      <c r="J980" s="100"/>
    </row>
    <row r="981">
      <c r="H981" s="95"/>
      <c r="J981" s="100"/>
    </row>
    <row r="982">
      <c r="H982" s="95"/>
      <c r="J982" s="100"/>
    </row>
    <row r="983">
      <c r="H983" s="95"/>
      <c r="J983" s="100"/>
    </row>
    <row r="984">
      <c r="H984" s="95"/>
      <c r="J984" s="100"/>
    </row>
    <row r="985">
      <c r="H985" s="95"/>
      <c r="J985" s="100"/>
    </row>
    <row r="986">
      <c r="H986" s="95"/>
      <c r="J986" s="100"/>
    </row>
    <row r="987">
      <c r="H987" s="95"/>
      <c r="J987" s="100"/>
    </row>
    <row r="988">
      <c r="H988" s="95"/>
      <c r="J988" s="100"/>
    </row>
    <row r="989">
      <c r="H989" s="95"/>
      <c r="J989" s="100"/>
    </row>
    <row r="990">
      <c r="H990" s="95"/>
      <c r="J990" s="100"/>
    </row>
    <row r="991">
      <c r="H991" s="95"/>
      <c r="J991" s="100"/>
    </row>
    <row r="992">
      <c r="H992" s="95"/>
      <c r="J992" s="100"/>
    </row>
    <row r="993">
      <c r="H993" s="95"/>
      <c r="J993" s="100"/>
    </row>
    <row r="994">
      <c r="H994" s="95"/>
      <c r="J994" s="100"/>
    </row>
    <row r="995">
      <c r="H995" s="95"/>
      <c r="J995" s="100"/>
    </row>
    <row r="996">
      <c r="H996" s="95"/>
      <c r="J996" s="100"/>
    </row>
    <row r="997">
      <c r="H997" s="95"/>
      <c r="J997" s="100"/>
    </row>
    <row r="998">
      <c r="H998" s="95"/>
      <c r="J998" s="100"/>
    </row>
    <row r="999">
      <c r="H999" s="95"/>
      <c r="J999" s="100"/>
    </row>
    <row r="1000">
      <c r="H1000" s="95"/>
      <c r="J1000" s="100"/>
    </row>
  </sheetData>
  <mergeCells count="4">
    <mergeCell ref="A1:J1"/>
    <mergeCell ref="B46:C49"/>
    <mergeCell ref="D46:G49"/>
    <mergeCell ref="C55:M55"/>
  </mergeCells>
  <conditionalFormatting sqref="A2:J2">
    <cfRule type="colorScale" priority="1">
      <colorScale>
        <cfvo type="min"/>
        <cfvo type="max"/>
        <color rgb="FF57BB8A"/>
        <color rgb="FFFFFFFF"/>
      </colorScale>
    </cfRule>
  </conditionalFormatting>
  <conditionalFormatting sqref="A1:D2 E1 F1:J2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