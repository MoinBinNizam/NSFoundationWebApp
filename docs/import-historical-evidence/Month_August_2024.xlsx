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ust, 2024" sheetId="1" r:id="rId5"/>
  </sheets>
  <definedNames/>
  <calcPr/>
</workbook>
</file>

<file path=xl/sharedStrings.xml><?xml version="1.0" encoding="utf-8"?>
<sst xmlns="http://schemas.openxmlformats.org/spreadsheetml/2006/main" count="175" uniqueCount="134">
  <si>
    <t>Month - August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</si>
  <si>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</si>
  <si>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</si>
  <si>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</si>
  <si>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</si>
  <si>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</si>
  <si>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</si>
  <si>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</si>
  <si>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</si>
  <si>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</si>
  <si>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Comment</t>
  </si>
  <si>
    <t>NSF001</t>
  </si>
  <si>
    <t>Salah Uddin Shuvo -Director</t>
  </si>
  <si>
    <t>Bank</t>
  </si>
  <si>
    <t>Moin</t>
  </si>
  <si>
    <t>NSF002</t>
  </si>
  <si>
    <t>Safiqul Islam -President</t>
  </si>
  <si>
    <t>Bkash</t>
  </si>
  <si>
    <t>NSF003</t>
  </si>
  <si>
    <t>Moin Uddin -Accountant</t>
  </si>
  <si>
    <t>NSF004</t>
  </si>
  <si>
    <t>Nurul Amin Samrat -Asst. Acc</t>
  </si>
  <si>
    <t>Samrat</t>
  </si>
  <si>
    <t>NSF005</t>
  </si>
  <si>
    <t>Nayem Islam -GS</t>
  </si>
  <si>
    <t>Due August payment. No penalty will be applied for Aug</t>
  </si>
  <si>
    <t>NSF006</t>
  </si>
  <si>
    <t>Abdul Hannan Khan -Convener</t>
  </si>
  <si>
    <t>NSF007</t>
  </si>
  <si>
    <t>Bayzid Hasan</t>
  </si>
  <si>
    <t>NSF008</t>
  </si>
  <si>
    <t>Munzur Rahman Munib</t>
  </si>
  <si>
    <t>NSF009</t>
  </si>
  <si>
    <t>Mizanur Rahman</t>
  </si>
  <si>
    <t>NSF010</t>
  </si>
  <si>
    <t>H. M Mahmudul Hasan</t>
  </si>
  <si>
    <t>NSF011</t>
  </si>
  <si>
    <t>Shoaib Ali</t>
  </si>
  <si>
    <t>NSF012</t>
  </si>
  <si>
    <t>Rakib Talukder</t>
  </si>
  <si>
    <t>Due August paymen + 30 tk june penalty due. No penalty for August for all</t>
  </si>
  <si>
    <t>NSF013</t>
  </si>
  <si>
    <t>H. M Ali Hossain</t>
  </si>
  <si>
    <t>BKash</t>
  </si>
  <si>
    <t>NSF014</t>
  </si>
  <si>
    <t>MD. Mustafizur Rahman Kollol</t>
  </si>
  <si>
    <t>July+ August. All dues paid</t>
  </si>
  <si>
    <t>NSF015</t>
  </si>
  <si>
    <t>Kawsar Ullah</t>
  </si>
  <si>
    <t>July + Aug payment unpaid. No penalty for August for all</t>
  </si>
  <si>
    <t>NSF016</t>
  </si>
  <si>
    <t>Arifur Rahman -Patuakhali</t>
  </si>
  <si>
    <t>Due August payment. No penalty for August for all</t>
  </si>
  <si>
    <t>NSF017</t>
  </si>
  <si>
    <t>Mamun Mridha</t>
  </si>
  <si>
    <t>nagad</t>
  </si>
  <si>
    <t>samrat</t>
  </si>
  <si>
    <t>NSF018</t>
  </si>
  <si>
    <t>Masum Billah</t>
  </si>
  <si>
    <t>April penalty unpaid</t>
  </si>
  <si>
    <t>NSF019</t>
  </si>
  <si>
    <t>Mamun Al Mahin- Ptk</t>
  </si>
  <si>
    <t>NSF020</t>
  </si>
  <si>
    <t>Nasim Billah Rafi</t>
  </si>
  <si>
    <t>Due June, July &amp; Aug. May cash out charge. No penalty for Aug</t>
  </si>
  <si>
    <t>NSF021</t>
  </si>
  <si>
    <t>MD. Tawhid Islam</t>
  </si>
  <si>
    <t xml:space="preserve">Due August payment </t>
  </si>
  <si>
    <t>NSF022</t>
  </si>
  <si>
    <t>Mahmudur Rahman Hasib</t>
  </si>
  <si>
    <t>May, June,  July, august payment unpaid. No penalty for Aug</t>
  </si>
  <si>
    <t>NSF023</t>
  </si>
  <si>
    <t>MD. Abdullah Al Jobair</t>
  </si>
  <si>
    <t>Due May cash out charge tk 10+ June + July + August payment + penalty. No penalty for Aug</t>
  </si>
  <si>
    <t>NSF024</t>
  </si>
  <si>
    <t>Arif - Gowranodi</t>
  </si>
  <si>
    <t>NSF025</t>
  </si>
  <si>
    <t>Sible Iqbal</t>
  </si>
  <si>
    <t>July &amp; Aug paid. Due July-40,Aug-30 penalty</t>
  </si>
  <si>
    <t>NSF026</t>
  </si>
  <si>
    <t>Shikder Tanim</t>
  </si>
  <si>
    <t>NSF027</t>
  </si>
  <si>
    <t>Mamun Al Mahin (Khulna)</t>
  </si>
  <si>
    <t>Due June + July + August payment. No penalty for Aug</t>
  </si>
  <si>
    <t>NSF028</t>
  </si>
  <si>
    <t>Al Amin Sohel Khandaker</t>
  </si>
  <si>
    <t>Cash out charge 10 tk due</t>
  </si>
  <si>
    <t>NSF029</t>
  </si>
  <si>
    <t>Hasan Al Emran</t>
  </si>
  <si>
    <t>NSF030</t>
  </si>
  <si>
    <t>H. M Wali Ullah</t>
  </si>
  <si>
    <t>NSF031</t>
  </si>
  <si>
    <t>Yasin Arafat</t>
  </si>
  <si>
    <t>Paid</t>
  </si>
  <si>
    <t>Advanced Paid in May</t>
  </si>
  <si>
    <t>NSF032</t>
  </si>
  <si>
    <t>Ahsan Ul Tanvir</t>
  </si>
  <si>
    <t>Due Mar-Aug Share payments. No penalty for Aug</t>
  </si>
  <si>
    <t>NSF033</t>
  </si>
  <si>
    <t>H. M Sakawat Ullah</t>
  </si>
  <si>
    <t>Paid all Due April-July Share amounts</t>
  </si>
  <si>
    <t>NSF034</t>
  </si>
  <si>
    <t>Abu Bakar Rohan</t>
  </si>
  <si>
    <t>Due Jan-May Share amounts</t>
  </si>
  <si>
    <t>NSF035</t>
  </si>
  <si>
    <t>Mamunur Rashid</t>
  </si>
  <si>
    <t>NSF036</t>
  </si>
  <si>
    <t>NSF037</t>
  </si>
  <si>
    <t xml:space="preserve">No Penalty fee applied for August due to July Revolution </t>
  </si>
  <si>
    <t>NSF038</t>
  </si>
  <si>
    <t>NSF039</t>
  </si>
  <si>
    <t>NSF040</t>
  </si>
  <si>
    <t>NSF041</t>
  </si>
  <si>
    <t>NSF042</t>
  </si>
  <si>
    <t>NSF043</t>
  </si>
  <si>
    <t xml:space="preserve">               </t>
  </si>
  <si>
    <t>NSF044</t>
  </si>
  <si>
    <t>NSF045</t>
  </si>
  <si>
    <t>NSF046</t>
  </si>
  <si>
    <t>Total Share</t>
  </si>
  <si>
    <t>Total Amount</t>
  </si>
  <si>
    <t>Finance Holder</t>
  </si>
  <si>
    <t>January</t>
  </si>
  <si>
    <t>Feb</t>
  </si>
  <si>
    <t>March</t>
  </si>
  <si>
    <t>April</t>
  </si>
  <si>
    <t>May</t>
  </si>
  <si>
    <t>June</t>
  </si>
  <si>
    <t>July</t>
  </si>
  <si>
    <t>August</t>
  </si>
  <si>
    <t>Total</t>
  </si>
  <si>
    <t>Moin Uddin</t>
  </si>
  <si>
    <t>Total Each Month Amount</t>
  </si>
  <si>
    <t>Total Month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</si>
</sst>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34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b/>
      <sz val="11.0"/>
      <color rgb="FFFFFFFF"/>
      <name val="Comic Sans MS"/>
    </font>
    <font>
      <b/>
      <sz val="12.0"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2A8947"/>
      <name val="Comfortaa"/>
    </font>
    <font>
      <color theme="1"/>
      <name val="Comfortaa"/>
    </font>
    <font>
      <sz val="10.0"/>
      <color theme="1"/>
      <name val="Comfortaa"/>
    </font>
    <font>
      <b/>
      <sz val="12.0"/>
      <color rgb="FF9900FF"/>
      <name val="Comfortaa"/>
    </font>
    <font>
      <b/>
      <sz val="12.0"/>
      <color rgb="FFFF0000"/>
      <name val="Comfortaa"/>
    </font>
    <font>
      <b/>
      <sz val="10.0"/>
      <color rgb="FFFF0000"/>
      <name val="Comfortaa"/>
    </font>
    <font>
      <b/>
      <sz val="12.0"/>
      <color rgb="FF000000"/>
      <name val="Comfortaa"/>
    </font>
    <font>
      <b/>
      <sz val="10.0"/>
      <color rgb="FF2A8947"/>
      <name val="Comfortaa"/>
    </font>
    <font>
      <sz val="10.0"/>
      <color theme="1"/>
      <name val="Arial"/>
      <scheme val="minor"/>
    </font>
    <font>
      <b/>
      <sz val="12.0"/>
      <color rgb="FF34A853"/>
      <name val="Comfortaa"/>
    </font>
    <font>
      <b/>
      <sz val="10.0"/>
      <color rgb="FF34A853"/>
      <name val="Comfortaa"/>
    </font>
    <font>
      <b/>
      <sz val="10.0"/>
      <color theme="1"/>
      <name val="Comfortaa"/>
    </font>
    <font>
      <b/>
      <sz val="11.0"/>
      <color theme="1"/>
      <name val="Comfortaa"/>
    </font>
    <font>
      <b/>
      <sz val="15.0"/>
      <color rgb="FFFF0000"/>
      <name val="Comfortaa"/>
    </font>
    <font>
      <b/>
      <color theme="1"/>
      <name val="Comfortaa"/>
    </font>
    <font>
      <b/>
      <sz val="20.0"/>
      <color rgb="FFFFFFFF"/>
      <name val="Comfortaa"/>
    </font>
    <font>
      <b/>
      <sz val="15.0"/>
      <color rgb="FFFFFFFF"/>
      <name val="Comfortaa"/>
    </font>
    <font>
      <b/>
      <sz val="19.0"/>
      <color rgb="FFFFFFFF"/>
      <name val="Comfortaa"/>
    </font>
    <font>
      <b/>
      <sz val="18.0"/>
      <color theme="1"/>
      <name val="Comfortaa"/>
    </font>
    <font>
      <b/>
      <sz val="17.0"/>
      <color theme="1"/>
      <name val="Comfortaa"/>
    </font>
    <font>
      <b/>
      <sz val="17.0"/>
      <color rgb="FF000000"/>
      <name val="Comfortaa"/>
    </font>
    <font>
      <b/>
      <sz val="19.0"/>
      <color theme="1"/>
      <name val="Comfortaa"/>
    </font>
    <font>
      <b/>
      <sz val="19.0"/>
      <color rgb="FFFF0000"/>
      <name val="Comfortaa"/>
    </font>
    <font>
      <b/>
      <sz val="23.0"/>
      <color theme="1"/>
      <name val="Comfortaa"/>
    </font>
    <font>
      <b/>
      <sz val="23.0"/>
      <color rgb="FF000000"/>
      <name val="Comfortaa"/>
    </font>
    <font>
      <b/>
      <sz val="19.0"/>
      <color rgb="FFFFFFFF"/>
      <name val="Arial"/>
      <scheme val="minor"/>
    </font>
    <font>
      <b/>
      <sz val="30.0"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4" fillId="3" fontId="3" numFmtId="0" xfId="0" applyAlignment="1" applyBorder="1" applyFill="1" applyFont="1">
      <alignment horizontal="center" readingOrder="0" shrinkToFit="0" wrapText="1"/>
    </xf>
    <xf borderId="4" fillId="5" fontId="5" numFmtId="0" xfId="0" applyAlignment="1" applyBorder="1" applyFill="1" applyFont="1">
      <alignment horizontal="center" readingOrder="0" vertical="center"/>
    </xf>
    <xf borderId="4" fillId="5" fontId="5" numFmtId="0" xfId="0" applyAlignment="1" applyBorder="1" applyFill="1" applyFont="1">
      <alignment horizontal="left" readingOrder="0" vertical="center"/>
    </xf>
    <xf borderId="4" fillId="0" fontId="6" numFmtId="0" xfId="0" applyAlignment="1" applyBorder="1" applyFont="1">
      <alignment horizontal="center" readingOrder="0" vertical="center"/>
    </xf>
    <xf borderId="4" fillId="6" fontId="7" numFmtId="0" xfId="0" applyAlignment="1" applyBorder="1" applyFill="1" applyFont="1">
      <alignment horizontal="center" readingOrder="0"/>
    </xf>
    <xf borderId="4" fillId="0" fontId="7" numFmtId="164" xfId="0" applyAlignment="1" applyBorder="1" applyFont="1" applyNumberFormat="1">
      <alignment horizontal="center" readingOrder="0"/>
    </xf>
    <xf borderId="3" fillId="0" fontId="7" numFmtId="0" xfId="0" applyAlignment="1" applyBorder="1" applyFont="1">
      <alignment horizontal="center" vertical="center"/>
    </xf>
    <xf borderId="4" fillId="6" fontId="8" numFmtId="0" xfId="0" applyAlignment="1" applyBorder="1" applyFill="1" applyFont="1">
      <alignment horizontal="left" shrinkToFit="0" vertical="center" wrapText="1"/>
    </xf>
    <xf borderId="4" fillId="6" fontId="9" numFmtId="0" xfId="0" applyAlignment="1" applyBorder="1" applyFill="1" applyFont="1">
      <alignment horizontal="left" shrinkToFit="0" vertical="center" wrapText="1"/>
    </xf>
    <xf borderId="4" fillId="6" fontId="10" numFmtId="0" xfId="0" applyAlignment="1" applyBorder="1" applyFill="1" applyFont="1">
      <alignment horizontal="center" readingOrder="0"/>
    </xf>
    <xf borderId="4" fillId="6" fontId="10" numFmtId="164" xfId="0" applyAlignment="1" applyBorder="1" applyFill="1" applyFont="1" applyNumberFormat="1">
      <alignment horizontal="center" readingOrder="0"/>
    </xf>
    <xf borderId="4" fillId="6" fontId="8" numFmtId="0" xfId="0" applyBorder="1" applyFill="1" applyFont="1"/>
    <xf borderId="3" fillId="2" fontId="11" numFmtId="0" xfId="0" applyAlignment="1" applyBorder="1" applyFill="1" applyFont="1">
      <alignment horizontal="center" readingOrder="0" vertical="center"/>
    </xf>
    <xf borderId="4" fillId="2" fontId="12" numFmtId="0" xfId="0" applyAlignment="1" applyBorder="1" applyFill="1" applyFont="1">
      <alignment horizontal="left" readingOrder="0" shrinkToFit="0" vertical="center" wrapText="1"/>
    </xf>
    <xf borderId="4" fillId="0" fontId="13" numFmtId="0" xfId="0" applyAlignment="1" applyBorder="1" applyFont="1">
      <alignment horizontal="center" readingOrder="0" vertical="center"/>
    </xf>
    <xf borderId="4" fillId="6" fontId="6" numFmtId="0" xfId="0" applyAlignment="1" applyBorder="1" applyFill="1" applyFont="1">
      <alignment horizontal="left" readingOrder="0" vertical="center"/>
    </xf>
    <xf borderId="4" fillId="7" fontId="6" numFmtId="0" xfId="0" applyAlignment="1" applyBorder="1" applyFill="1" applyFont="1">
      <alignment horizontal="center" readingOrder="0" vertical="center"/>
    </xf>
    <xf borderId="4" fillId="7" fontId="8" numFmtId="0" xfId="0" applyAlignment="1" applyBorder="1" applyFill="1" applyFont="1">
      <alignment vertical="center"/>
    </xf>
    <xf borderId="4" fillId="7" fontId="9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center"/>
    </xf>
    <xf borderId="3" fillId="0" fontId="14" numFmtId="0" xfId="0" applyAlignment="1" applyBorder="1" applyFont="1">
      <alignment horizontal="left" readingOrder="0" shrinkToFit="0" vertical="center" wrapText="1"/>
    </xf>
    <xf borderId="0" fillId="0" fontId="15" numFmtId="0" xfId="0" applyFont="1"/>
    <xf borderId="4" fillId="2" fontId="11" numFmtId="0" xfId="0" applyAlignment="1" applyBorder="1" applyFill="1" applyFont="1">
      <alignment horizontal="center" readingOrder="0" vertical="center"/>
    </xf>
    <xf borderId="4" fillId="6" fontId="13" numFmtId="0" xfId="0" applyAlignment="1" applyBorder="1" applyFill="1" applyFont="1">
      <alignment horizontal="left" readingOrder="0" vertical="center"/>
    </xf>
    <xf borderId="4" fillId="6" fontId="6" numFmtId="0" xfId="0" applyAlignment="1" applyBorder="1" applyFill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6" fontId="14" numFmtId="0" xfId="0" applyAlignment="1" applyBorder="1" applyFill="1" applyFont="1">
      <alignment horizontal="left" readingOrder="0" shrinkToFit="0" vertical="center" wrapText="1"/>
    </xf>
    <xf borderId="4" fillId="6" fontId="16" numFmtId="0" xfId="0" applyAlignment="1" applyBorder="1" applyFill="1" applyFont="1">
      <alignment horizontal="center" readingOrder="0" vertical="center"/>
    </xf>
    <xf borderId="4" fillId="6" fontId="17" numFmtId="0" xfId="0" applyAlignment="1" applyBorder="1" applyFill="1" applyFont="1">
      <alignment horizontal="left" readingOrder="0" shrinkToFit="0" vertical="center" wrapText="1"/>
    </xf>
    <xf borderId="4" fillId="2" fontId="11" numFmtId="0" xfId="0" applyAlignment="1" applyBorder="1" applyFill="1" applyFont="1">
      <alignment horizontal="center" readingOrder="0"/>
    </xf>
    <xf borderId="4" fillId="2" fontId="12" numFmtId="0" xfId="0" applyAlignment="1" applyBorder="1" applyFill="1" applyFont="1">
      <alignment readingOrder="0" shrinkToFit="0" wrapText="1"/>
    </xf>
    <xf borderId="4" fillId="2" fontId="12" numFmtId="0" xfId="0" applyAlignment="1" applyBorder="1" applyFill="1" applyFont="1">
      <alignment readingOrder="0" shrinkToFit="0" vertical="center" wrapText="1"/>
    </xf>
    <xf borderId="4" fillId="0" fontId="13" numFmtId="0" xfId="0" applyAlignment="1" applyBorder="1" applyFont="1">
      <alignment horizontal="left" readingOrder="0" vertical="center"/>
    </xf>
    <xf borderId="4" fillId="6" fontId="18" numFmtId="0" xfId="0" applyAlignment="1" applyBorder="1" applyFill="1" applyFont="1">
      <alignment horizontal="left" shrinkToFit="0" vertical="center" wrapText="1"/>
    </xf>
    <xf borderId="4" fillId="6" fontId="13" numFmtId="0" xfId="0" applyAlignment="1" applyBorder="1" applyFill="1" applyFont="1">
      <alignment horizontal="center" readingOrder="0" vertical="center"/>
    </xf>
    <xf borderId="4" fillId="6" fontId="7" numFmtId="164" xfId="0" applyAlignment="1" applyBorder="1" applyFill="1" applyFont="1" applyNumberFormat="1">
      <alignment horizontal="center" readingOrder="0"/>
    </xf>
    <xf borderId="3" fillId="0" fontId="11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left" readingOrder="0" shrinkToFit="0" vertical="center" wrapText="1"/>
    </xf>
    <xf borderId="3" fillId="2" fontId="11" numFmtId="0" xfId="0" applyAlignment="1" applyBorder="1" applyFill="1" applyFont="1">
      <alignment horizontal="center" readingOrder="0" vertical="bottom"/>
    </xf>
    <xf borderId="4" fillId="0" fontId="12" numFmtId="0" xfId="0" applyAlignment="1" applyBorder="1" applyFont="1">
      <alignment horizontal="left" readingOrder="0" shrinkToFit="0" vertical="center" wrapText="1"/>
    </xf>
    <xf borderId="3" fillId="6" fontId="7" numFmtId="0" xfId="0" applyAlignment="1" applyBorder="1" applyFill="1" applyFont="1">
      <alignment horizontal="center" readingOrder="0" vertical="bottom"/>
    </xf>
    <xf borderId="3" fillId="6" fontId="7" numFmtId="0" xfId="0" applyAlignment="1" applyBorder="1" applyFill="1" applyFont="1">
      <alignment horizontal="center" vertical="bottom"/>
    </xf>
    <xf borderId="3" fillId="0" fontId="7" numFmtId="164" xfId="0" applyAlignment="1" applyBorder="1" applyFont="1" applyNumberFormat="1">
      <alignment horizontal="center" readingOrder="0" vertical="bottom"/>
    </xf>
    <xf borderId="3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/>
    </xf>
    <xf borderId="4" fillId="0" fontId="6" numFmtId="0" xfId="0" applyAlignment="1" applyBorder="1" applyFont="1">
      <alignment horizontal="left" readingOrder="0" vertical="center"/>
    </xf>
    <xf borderId="4" fillId="6" fontId="19" numFmtId="0" xfId="0" applyAlignment="1" applyBorder="1" applyFill="1" applyFont="1">
      <alignment horizontal="center" readingOrder="0" vertical="center"/>
    </xf>
    <xf borderId="4" fillId="6" fontId="8" numFmtId="0" xfId="0" applyAlignment="1" applyBorder="1" applyFill="1" applyFont="1">
      <alignment vertical="center"/>
    </xf>
    <xf borderId="4" fillId="0" fontId="6" numFmtId="0" xfId="0" applyAlignment="1" applyBorder="1" applyFont="1">
      <alignment horizontal="left" vertical="center"/>
    </xf>
    <xf borderId="4" fillId="6" fontId="9" numFmtId="0" xfId="0" applyBorder="1" applyFill="1" applyFont="1"/>
    <xf borderId="5" fillId="2" fontId="20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4" fillId="0" fontId="9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Border="1" applyFont="1"/>
    <xf borderId="13" fillId="0" fontId="6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center" vertical="center"/>
    </xf>
    <xf borderId="0" fillId="0" fontId="21" numFmtId="0" xfId="0" applyAlignment="1" applyFont="1">
      <alignment horizontal="center"/>
    </xf>
    <xf borderId="0" fillId="8" fontId="22" numFmtId="0" xfId="0" applyAlignment="1" applyFill="1" applyFont="1">
      <alignment horizontal="left" readingOrder="0"/>
    </xf>
    <xf borderId="0" fillId="8" fontId="22" numFmtId="0" xfId="0" applyAlignment="1" applyFill="1" applyFont="1">
      <alignment horizontal="center"/>
    </xf>
    <xf borderId="0" fillId="9" fontId="22" numFmtId="0" xfId="0" applyAlignment="1" applyFill="1" applyFont="1">
      <alignment horizontal="center" readingOrder="0" vertical="center"/>
    </xf>
    <xf borderId="0" fillId="4" fontId="22" numFmtId="0" xfId="0" applyAlignment="1" applyFill="1" applyFont="1">
      <alignment horizontal="center" vertical="center"/>
    </xf>
    <xf borderId="4" fillId="3" fontId="22" numFmtId="0" xfId="0" applyAlignment="1" applyBorder="1" applyFill="1" applyFont="1">
      <alignment horizontal="center" readingOrder="0" vertical="center"/>
    </xf>
    <xf borderId="4" fillId="3" fontId="23" numFmtId="0" xfId="0" applyAlignment="1" applyBorder="1" applyFill="1" applyFont="1">
      <alignment horizontal="center" readingOrder="0" vertical="center"/>
    </xf>
    <xf borderId="1" fillId="3" fontId="24" numFmtId="0" xfId="0" applyAlignment="1" applyBorder="1" applyFill="1" applyFont="1">
      <alignment horizontal="center" readingOrder="0" shrinkToFit="0" vertical="center" wrapText="1"/>
    </xf>
    <xf borderId="4" fillId="10" fontId="25" numFmtId="0" xfId="0" applyAlignment="1" applyBorder="1" applyFill="1" applyFont="1">
      <alignment horizontal="center" readingOrder="0" vertical="center"/>
    </xf>
    <xf borderId="4" fillId="0" fontId="26" numFmtId="0" xfId="0" applyAlignment="1" applyBorder="1" applyFont="1">
      <alignment horizontal="center" vertical="center"/>
    </xf>
    <xf borderId="4" fillId="0" fontId="26" numFmtId="0" xfId="0" applyAlignment="1" applyBorder="1" applyFont="1">
      <alignment horizontal="right" vertical="center"/>
    </xf>
    <xf borderId="4" fillId="0" fontId="27" numFmtId="0" xfId="0" applyAlignment="1" applyBorder="1" applyFont="1">
      <alignment horizontal="center" readingOrder="0" vertical="center"/>
    </xf>
    <xf borderId="4" fillId="6" fontId="27" numFmtId="0" xfId="0" applyAlignment="1" applyBorder="1" applyFill="1" applyFont="1">
      <alignment horizontal="center" readingOrder="0" vertical="center"/>
    </xf>
    <xf borderId="1" fillId="2" fontId="28" numFmtId="0" xfId="0" applyAlignment="1" applyBorder="1" applyFill="1" applyFont="1">
      <alignment horizontal="center" shrinkToFit="0" vertical="center" wrapText="1"/>
    </xf>
    <xf borderId="4" fillId="11" fontId="25" numFmtId="0" xfId="0" applyAlignment="1" applyBorder="1" applyFill="1" applyFont="1">
      <alignment horizontal="center" readingOrder="0" vertical="center"/>
    </xf>
    <xf borderId="4" fillId="2" fontId="29" numFmtId="0" xfId="0" applyAlignment="1" applyBorder="1" applyFill="1" applyFont="1">
      <alignment horizontal="center" readingOrder="0" shrinkToFit="0" vertical="center" wrapText="1"/>
    </xf>
    <xf borderId="4" fillId="2" fontId="30" numFmtId="0" xfId="0" applyAlignment="1" applyBorder="1" applyFill="1" applyFont="1">
      <alignment horizontal="center" vertical="center"/>
    </xf>
    <xf borderId="4" fillId="2" fontId="30" numFmtId="0" xfId="0" applyAlignment="1" applyBorder="1" applyFill="1" applyFont="1">
      <alignment horizontal="right" vertical="center"/>
    </xf>
    <xf borderId="4" fillId="2" fontId="30" numFmtId="0" xfId="0" applyAlignment="1" applyBorder="1" applyFill="1" applyFont="1">
      <alignment horizontal="center" readingOrder="0" vertical="center"/>
    </xf>
    <xf borderId="4" fillId="2" fontId="31" numFmtId="0" xfId="0" applyAlignment="1" applyBorder="1" applyFill="1" applyFont="1">
      <alignment horizontal="center" readingOrder="0" vertical="center"/>
    </xf>
    <xf borderId="1" fillId="12" fontId="24" numFmtId="0" xfId="0" applyAlignment="1" applyBorder="1" applyFill="1" applyFont="1">
      <alignment horizontal="center" shrinkToFit="0" vertical="center" wrapText="1"/>
    </xf>
    <xf borderId="0" fillId="13" fontId="32" numFmtId="0" xfId="0" applyAlignment="1" applyFill="1" applyFont="1">
      <alignment readingOrder="0" vertical="center"/>
    </xf>
    <xf borderId="0" fillId="14" fontId="33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2.13"/>
    <col customWidth="1" min="3" max="3" width="14.13"/>
    <col customWidth="1" min="7" max="7" width="16.13"/>
    <col customWidth="1" min="10" max="10" width="29.0"/>
    <col customWidth="1" min="11" max="11" width="1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 t="s">
        <v>10</v>
      </c>
    </row>
    <row r="3">
      <c r="A3" s="7" t="s">
        <v>11</v>
      </c>
      <c r="B3" s="8" t="s">
        <v>12</v>
      </c>
      <c r="C3" s="9">
        <v>5.0</v>
      </c>
      <c r="D3" s="10">
        <v>2500.0</v>
      </c>
      <c r="E3" s="10" t="s">
        <v>13</v>
      </c>
      <c r="F3" s="10" t="s">
        <v>14</v>
      </c>
      <c r="G3" s="11">
        <v>45531.0</v>
      </c>
      <c r="H3" s="12">
        <v>0.0</v>
      </c>
      <c r="I3" s="12">
        <v>0.0</v>
      </c>
      <c r="J3" s="13"/>
    </row>
    <row r="4">
      <c r="A4" s="7" t="s">
        <v>15</v>
      </c>
      <c r="B4" s="8" t="s">
        <v>16</v>
      </c>
      <c r="C4" s="9">
        <v>3.0</v>
      </c>
      <c r="D4" s="10">
        <v>1500.0</v>
      </c>
      <c r="E4" s="10" t="s">
        <v>17</v>
      </c>
      <c r="F4" s="10" t="s">
        <v>14</v>
      </c>
      <c r="G4" s="11">
        <v>45519.0</v>
      </c>
      <c r="H4" s="12">
        <v>0.0</v>
      </c>
      <c r="I4" s="12">
        <v>0.0</v>
      </c>
      <c r="J4" s="14"/>
    </row>
    <row r="5">
      <c r="A5" s="7" t="s">
        <v>18</v>
      </c>
      <c r="B5" s="8" t="s">
        <v>19</v>
      </c>
      <c r="C5" s="9">
        <v>2.0</v>
      </c>
      <c r="D5" s="10">
        <v>1000.0</v>
      </c>
      <c r="E5" s="10" t="s">
        <v>13</v>
      </c>
      <c r="F5" s="10" t="s">
        <v>14</v>
      </c>
      <c r="G5" s="11">
        <v>45519.0</v>
      </c>
      <c r="H5" s="12">
        <v>0.0</v>
      </c>
      <c r="I5" s="12">
        <v>0.0</v>
      </c>
      <c r="J5" s="14"/>
    </row>
    <row r="6">
      <c r="A6" s="7" t="s">
        <v>20</v>
      </c>
      <c r="B6" s="8" t="s">
        <v>21</v>
      </c>
      <c r="C6" s="9">
        <v>4.0</v>
      </c>
      <c r="D6" s="15">
        <v>2000.0</v>
      </c>
      <c r="E6" s="15" t="s">
        <v>17</v>
      </c>
      <c r="F6" s="15" t="s">
        <v>22</v>
      </c>
      <c r="G6" s="16">
        <v>45518.0</v>
      </c>
      <c r="H6" s="12">
        <v>0.0</v>
      </c>
      <c r="I6" s="12">
        <v>0.0</v>
      </c>
      <c r="J6" s="14"/>
    </row>
    <row r="7">
      <c r="A7" s="7" t="s">
        <v>23</v>
      </c>
      <c r="B7" s="8" t="s">
        <v>24</v>
      </c>
      <c r="C7" s="9">
        <v>2.0</v>
      </c>
      <c r="D7" s="17"/>
      <c r="E7" s="17"/>
      <c r="F7" s="17"/>
      <c r="G7" s="17"/>
      <c r="H7" s="18">
        <v>1000.0</v>
      </c>
      <c r="I7" s="18">
        <v>0.0</v>
      </c>
      <c r="J7" s="19" t="s">
        <v>25</v>
      </c>
    </row>
    <row r="8">
      <c r="A8" s="7" t="s">
        <v>26</v>
      </c>
      <c r="B8" s="8" t="s">
        <v>27</v>
      </c>
      <c r="C8" s="20">
        <v>1.0</v>
      </c>
      <c r="D8" s="10">
        <v>500.0</v>
      </c>
      <c r="E8" s="10" t="s">
        <v>17</v>
      </c>
      <c r="F8" s="10" t="s">
        <v>14</v>
      </c>
      <c r="G8" s="11">
        <v>45522.0</v>
      </c>
      <c r="H8" s="12">
        <v>0.0</v>
      </c>
      <c r="I8" s="12">
        <v>0.0</v>
      </c>
      <c r="J8" s="14"/>
    </row>
    <row r="9">
      <c r="A9" s="7" t="s">
        <v>28</v>
      </c>
      <c r="B9" s="21" t="s">
        <v>29</v>
      </c>
      <c r="C9" s="22">
        <v>1.0</v>
      </c>
      <c r="D9" s="17"/>
      <c r="E9" s="17"/>
      <c r="F9" s="17"/>
      <c r="G9" s="17"/>
      <c r="H9" s="23"/>
      <c r="I9" s="23"/>
      <c r="J9" s="24"/>
    </row>
    <row r="10">
      <c r="A10" s="7" t="s">
        <v>30</v>
      </c>
      <c r="B10" s="21" t="s">
        <v>31</v>
      </c>
      <c r="C10" s="9">
        <v>1.0</v>
      </c>
      <c r="D10" s="25">
        <v>500.0</v>
      </c>
      <c r="E10" s="10" t="s">
        <v>17</v>
      </c>
      <c r="F10" s="10" t="s">
        <v>14</v>
      </c>
      <c r="G10" s="11">
        <v>45533.0</v>
      </c>
      <c r="H10" s="12">
        <v>0.0</v>
      </c>
      <c r="I10" s="26"/>
      <c r="J10" s="27"/>
    </row>
    <row r="11">
      <c r="A11" s="7" t="s">
        <v>32</v>
      </c>
      <c r="B11" s="21" t="s">
        <v>33</v>
      </c>
      <c r="C11" s="9">
        <v>1.0</v>
      </c>
      <c r="D11" s="10">
        <v>500.0</v>
      </c>
      <c r="E11" s="10" t="s">
        <v>17</v>
      </c>
      <c r="F11" s="10" t="s">
        <v>14</v>
      </c>
      <c r="G11" s="11">
        <v>45517.0</v>
      </c>
      <c r="H11" s="12">
        <v>0.0</v>
      </c>
      <c r="I11" s="12">
        <v>0.0</v>
      </c>
      <c r="J11" s="14"/>
    </row>
    <row r="12">
      <c r="A12" s="7" t="s">
        <v>34</v>
      </c>
      <c r="B12" s="21" t="s">
        <v>35</v>
      </c>
      <c r="C12" s="9">
        <v>1.0</v>
      </c>
      <c r="D12" s="10">
        <v>500.0</v>
      </c>
      <c r="E12" s="10" t="s">
        <v>17</v>
      </c>
      <c r="F12" s="10" t="s">
        <v>14</v>
      </c>
      <c r="G12" s="11">
        <v>45519.0</v>
      </c>
      <c r="H12" s="12">
        <v>0.0</v>
      </c>
      <c r="I12" s="12">
        <v>0.0</v>
      </c>
      <c r="J12" s="28"/>
    </row>
    <row r="13">
      <c r="A13" s="7" t="s">
        <v>36</v>
      </c>
      <c r="B13" s="21" t="s">
        <v>37</v>
      </c>
      <c r="C13" s="9">
        <v>2.0</v>
      </c>
      <c r="D13" s="10">
        <v>1000.0</v>
      </c>
      <c r="E13" s="10" t="s">
        <v>17</v>
      </c>
      <c r="F13" s="10" t="s">
        <v>14</v>
      </c>
      <c r="G13" s="11">
        <v>45519.0</v>
      </c>
      <c r="H13" s="12">
        <v>0.0</v>
      </c>
      <c r="I13" s="12">
        <v>0.0</v>
      </c>
      <c r="J13" s="14"/>
    </row>
    <row r="14">
      <c r="A14" s="7" t="s">
        <v>38</v>
      </c>
      <c r="B14" s="21" t="s">
        <v>39</v>
      </c>
      <c r="C14" s="9">
        <v>2.0</v>
      </c>
      <c r="D14" s="17"/>
      <c r="E14" s="17"/>
      <c r="F14" s="17"/>
      <c r="G14" s="17"/>
      <c r="H14" s="29">
        <v>1030.0</v>
      </c>
      <c r="I14" s="29">
        <v>30.0</v>
      </c>
      <c r="J14" s="19" t="s">
        <v>40</v>
      </c>
    </row>
    <row r="15">
      <c r="A15" s="7" t="s">
        <v>41</v>
      </c>
      <c r="B15" s="30" t="s">
        <v>42</v>
      </c>
      <c r="C15" s="31">
        <v>2.0</v>
      </c>
      <c r="D15" s="15">
        <v>2000.0</v>
      </c>
      <c r="E15" s="15" t="s">
        <v>43</v>
      </c>
      <c r="F15" s="15" t="s">
        <v>22</v>
      </c>
      <c r="G15" s="16">
        <v>45534.0</v>
      </c>
      <c r="H15" s="32">
        <v>0.0</v>
      </c>
      <c r="I15" s="32">
        <v>0.0</v>
      </c>
      <c r="J15" s="33"/>
    </row>
    <row r="16">
      <c r="A16" s="7" t="s">
        <v>44</v>
      </c>
      <c r="B16" s="21" t="s">
        <v>45</v>
      </c>
      <c r="C16" s="9">
        <v>6.0</v>
      </c>
      <c r="D16" s="10">
        <v>6120.0</v>
      </c>
      <c r="E16" s="10" t="s">
        <v>13</v>
      </c>
      <c r="F16" s="10" t="s">
        <v>14</v>
      </c>
      <c r="G16" s="11">
        <v>45516.0</v>
      </c>
      <c r="H16" s="34">
        <v>0.0</v>
      </c>
      <c r="I16" s="34">
        <v>120.0</v>
      </c>
      <c r="J16" s="35" t="s">
        <v>46</v>
      </c>
    </row>
    <row r="17">
      <c r="A17" s="7" t="s">
        <v>47</v>
      </c>
      <c r="B17" s="21" t="s">
        <v>48</v>
      </c>
      <c r="C17" s="9">
        <v>1.0</v>
      </c>
      <c r="D17" s="15"/>
      <c r="E17" s="15"/>
      <c r="F17" s="15"/>
      <c r="G17" s="16"/>
      <c r="H17" s="29">
        <v>1020.0</v>
      </c>
      <c r="I17" s="29">
        <v>20.0</v>
      </c>
      <c r="J17" s="19" t="s">
        <v>49</v>
      </c>
    </row>
    <row r="18">
      <c r="A18" s="7" t="s">
        <v>50</v>
      </c>
      <c r="B18" s="21" t="s">
        <v>51</v>
      </c>
      <c r="C18" s="9">
        <v>1.0</v>
      </c>
      <c r="D18" s="15"/>
      <c r="E18" s="15"/>
      <c r="F18" s="15"/>
      <c r="G18" s="16"/>
      <c r="H18" s="29">
        <v>500.0</v>
      </c>
      <c r="I18" s="29">
        <v>0.0</v>
      </c>
      <c r="J18" s="19" t="s">
        <v>52</v>
      </c>
    </row>
    <row r="19">
      <c r="A19" s="7" t="s">
        <v>53</v>
      </c>
      <c r="B19" s="21" t="s">
        <v>54</v>
      </c>
      <c r="C19" s="9">
        <v>4.0</v>
      </c>
      <c r="D19" s="15">
        <v>2000.0</v>
      </c>
      <c r="E19" s="15" t="s">
        <v>55</v>
      </c>
      <c r="F19" s="15" t="s">
        <v>56</v>
      </c>
      <c r="G19" s="16">
        <v>45518.0</v>
      </c>
      <c r="H19" s="32">
        <v>0.0</v>
      </c>
      <c r="I19" s="32">
        <v>0.0</v>
      </c>
      <c r="J19" s="14"/>
    </row>
    <row r="20">
      <c r="A20" s="7" t="s">
        <v>57</v>
      </c>
      <c r="B20" s="21" t="s">
        <v>58</v>
      </c>
      <c r="C20" s="9">
        <v>2.0</v>
      </c>
      <c r="D20" s="10">
        <v>1000.0</v>
      </c>
      <c r="E20" s="10" t="s">
        <v>13</v>
      </c>
      <c r="F20" s="10" t="s">
        <v>14</v>
      </c>
      <c r="G20" s="11">
        <v>45515.0</v>
      </c>
      <c r="H20" s="29">
        <v>40.0</v>
      </c>
      <c r="I20" s="29">
        <v>40.0</v>
      </c>
      <c r="J20" s="19" t="s">
        <v>59</v>
      </c>
    </row>
    <row r="21">
      <c r="A21" s="7" t="s">
        <v>60</v>
      </c>
      <c r="B21" s="21" t="s">
        <v>61</v>
      </c>
      <c r="C21" s="9">
        <v>2.0</v>
      </c>
      <c r="D21" s="10">
        <v>1000.0</v>
      </c>
      <c r="E21" s="10" t="s">
        <v>13</v>
      </c>
      <c r="F21" s="10" t="s">
        <v>14</v>
      </c>
      <c r="G21" s="11">
        <v>45515.0</v>
      </c>
      <c r="H21" s="29">
        <v>40.0</v>
      </c>
      <c r="I21" s="29">
        <v>40.0</v>
      </c>
      <c r="J21" s="19" t="s">
        <v>59</v>
      </c>
    </row>
    <row r="22">
      <c r="A22" s="7" t="s">
        <v>62</v>
      </c>
      <c r="B22" s="21" t="s">
        <v>63</v>
      </c>
      <c r="C22" s="9">
        <v>1.0</v>
      </c>
      <c r="D22" s="15"/>
      <c r="E22" s="15"/>
      <c r="F22" s="15"/>
      <c r="G22" s="16"/>
      <c r="H22" s="29">
        <v>1560.0</v>
      </c>
      <c r="I22" s="29">
        <v>60.0</v>
      </c>
      <c r="J22" s="19" t="s">
        <v>64</v>
      </c>
    </row>
    <row r="23">
      <c r="A23" s="7" t="s">
        <v>65</v>
      </c>
      <c r="B23" s="21" t="s">
        <v>66</v>
      </c>
      <c r="C23" s="9">
        <v>2.0</v>
      </c>
      <c r="D23" s="17"/>
      <c r="E23" s="17"/>
      <c r="F23" s="17"/>
      <c r="G23" s="17"/>
      <c r="H23" s="18">
        <v>1000.0</v>
      </c>
      <c r="I23" s="29">
        <v>0.0</v>
      </c>
      <c r="J23" s="19" t="s">
        <v>67</v>
      </c>
    </row>
    <row r="24">
      <c r="A24" s="7" t="s">
        <v>68</v>
      </c>
      <c r="B24" s="21" t="s">
        <v>69</v>
      </c>
      <c r="C24" s="9">
        <v>2.0</v>
      </c>
      <c r="D24" s="17"/>
      <c r="E24" s="17"/>
      <c r="F24" s="17"/>
      <c r="G24" s="17"/>
      <c r="H24" s="36">
        <v>4120.0</v>
      </c>
      <c r="I24" s="36">
        <v>120.0</v>
      </c>
      <c r="J24" s="37" t="s">
        <v>70</v>
      </c>
    </row>
    <row r="25">
      <c r="A25" s="7" t="s">
        <v>71</v>
      </c>
      <c r="B25" s="21" t="s">
        <v>72</v>
      </c>
      <c r="C25" s="31">
        <v>2.0</v>
      </c>
      <c r="D25" s="17"/>
      <c r="E25" s="17"/>
      <c r="F25" s="17"/>
      <c r="G25" s="17"/>
      <c r="H25" s="29">
        <v>3090.0</v>
      </c>
      <c r="I25" s="29">
        <v>80.0</v>
      </c>
      <c r="J25" s="38" t="s">
        <v>73</v>
      </c>
    </row>
    <row r="26">
      <c r="A26" s="7" t="s">
        <v>74</v>
      </c>
      <c r="B26" s="39" t="s">
        <v>75</v>
      </c>
      <c r="C26" s="20">
        <v>1.0</v>
      </c>
      <c r="D26" s="10">
        <v>500.0</v>
      </c>
      <c r="E26" s="10" t="s">
        <v>17</v>
      </c>
      <c r="F26" s="10" t="s">
        <v>14</v>
      </c>
      <c r="G26" s="11">
        <v>45516.0</v>
      </c>
      <c r="H26" s="12">
        <v>0.0</v>
      </c>
      <c r="I26" s="12">
        <v>0.0</v>
      </c>
      <c r="J26" s="40"/>
    </row>
    <row r="27">
      <c r="A27" s="7" t="s">
        <v>76</v>
      </c>
      <c r="B27" s="30" t="s">
        <v>77</v>
      </c>
      <c r="C27" s="41">
        <v>2.0</v>
      </c>
      <c r="D27" s="10">
        <v>2010.0</v>
      </c>
      <c r="E27" s="10" t="s">
        <v>17</v>
      </c>
      <c r="F27" s="10" t="s">
        <v>14</v>
      </c>
      <c r="G27" s="42">
        <v>45524.0</v>
      </c>
      <c r="H27" s="29">
        <v>70.0</v>
      </c>
      <c r="I27" s="29">
        <v>80.0</v>
      </c>
      <c r="J27" s="19" t="s">
        <v>78</v>
      </c>
    </row>
    <row r="28">
      <c r="A28" s="7" t="s">
        <v>79</v>
      </c>
      <c r="B28" s="21" t="s">
        <v>80</v>
      </c>
      <c r="C28" s="9">
        <v>1.0</v>
      </c>
      <c r="D28" s="10">
        <v>500.0</v>
      </c>
      <c r="E28" s="10" t="s">
        <v>13</v>
      </c>
      <c r="F28" s="10" t="s">
        <v>14</v>
      </c>
      <c r="G28" s="11">
        <v>45515.0</v>
      </c>
      <c r="H28" s="12">
        <v>0.0</v>
      </c>
      <c r="I28" s="12">
        <v>0.0</v>
      </c>
      <c r="J28" s="40"/>
    </row>
    <row r="29">
      <c r="A29" s="7" t="s">
        <v>81</v>
      </c>
      <c r="B29" s="21" t="s">
        <v>82</v>
      </c>
      <c r="C29" s="31">
        <v>2.0</v>
      </c>
      <c r="D29" s="17"/>
      <c r="E29" s="17"/>
      <c r="F29" s="17"/>
      <c r="G29" s="17"/>
      <c r="H29" s="29">
        <v>3080.0</v>
      </c>
      <c r="I29" s="29">
        <v>80.0</v>
      </c>
      <c r="J29" s="19" t="s">
        <v>83</v>
      </c>
    </row>
    <row r="30">
      <c r="A30" s="7" t="s">
        <v>84</v>
      </c>
      <c r="B30" s="21" t="s">
        <v>85</v>
      </c>
      <c r="C30" s="9">
        <v>2.0</v>
      </c>
      <c r="D30" s="10">
        <v>1000.0</v>
      </c>
      <c r="E30" s="10" t="s">
        <v>17</v>
      </c>
      <c r="F30" s="10" t="s">
        <v>14</v>
      </c>
      <c r="G30" s="11">
        <v>45515.0</v>
      </c>
      <c r="H30" s="43">
        <v>10.0</v>
      </c>
      <c r="I30" s="12">
        <v>0.0</v>
      </c>
      <c r="J30" s="19" t="s">
        <v>86</v>
      </c>
    </row>
    <row r="31">
      <c r="A31" s="7" t="s">
        <v>87</v>
      </c>
      <c r="B31" s="21" t="s">
        <v>88</v>
      </c>
      <c r="C31" s="9">
        <v>1.0</v>
      </c>
      <c r="D31" s="10">
        <v>500.0</v>
      </c>
      <c r="E31" s="10" t="s">
        <v>13</v>
      </c>
      <c r="F31" s="10" t="s">
        <v>14</v>
      </c>
      <c r="G31" s="11">
        <v>45515.0</v>
      </c>
      <c r="H31" s="44">
        <v>0.0</v>
      </c>
      <c r="I31" s="44">
        <v>0.0</v>
      </c>
      <c r="J31" s="40"/>
    </row>
    <row r="32">
      <c r="A32" s="7" t="s">
        <v>89</v>
      </c>
      <c r="B32" s="21" t="s">
        <v>90</v>
      </c>
      <c r="C32" s="20">
        <v>2.0</v>
      </c>
      <c r="D32" s="10">
        <v>1000.0</v>
      </c>
      <c r="E32" s="10" t="s">
        <v>13</v>
      </c>
      <c r="F32" s="10" t="s">
        <v>14</v>
      </c>
      <c r="G32" s="11">
        <v>45533.0</v>
      </c>
      <c r="H32" s="44">
        <v>0.0</v>
      </c>
      <c r="I32" s="44">
        <v>0.0</v>
      </c>
      <c r="J32" s="40"/>
    </row>
    <row r="33">
      <c r="A33" s="7" t="s">
        <v>91</v>
      </c>
      <c r="B33" s="21" t="s">
        <v>92</v>
      </c>
      <c r="C33" s="20">
        <v>1.0</v>
      </c>
      <c r="D33" s="45" t="s">
        <v>93</v>
      </c>
      <c r="E33" s="45" t="s">
        <v>17</v>
      </c>
      <c r="F33" s="45" t="s">
        <v>14</v>
      </c>
      <c r="G33" s="11">
        <v>45430.0</v>
      </c>
      <c r="H33" s="44">
        <v>0.0</v>
      </c>
      <c r="I33" s="44">
        <v>0.0</v>
      </c>
      <c r="J33" s="46" t="s">
        <v>94</v>
      </c>
    </row>
    <row r="34">
      <c r="A34" s="7" t="s">
        <v>95</v>
      </c>
      <c r="B34" s="30" t="s">
        <v>96</v>
      </c>
      <c r="C34" s="20">
        <v>2.0</v>
      </c>
      <c r="D34" s="17"/>
      <c r="E34" s="17"/>
      <c r="F34" s="17"/>
      <c r="G34" s="17"/>
      <c r="H34" s="47">
        <v>6200.0</v>
      </c>
      <c r="I34" s="47">
        <v>200.0</v>
      </c>
      <c r="J34" s="48" t="s">
        <v>97</v>
      </c>
    </row>
    <row r="35">
      <c r="A35" s="7" t="s">
        <v>98</v>
      </c>
      <c r="B35" s="30" t="s">
        <v>99</v>
      </c>
      <c r="C35" s="20">
        <v>2.0</v>
      </c>
      <c r="D35" s="25">
        <v>5160.0</v>
      </c>
      <c r="E35" s="49" t="s">
        <v>17</v>
      </c>
      <c r="F35" s="50" t="s">
        <v>14</v>
      </c>
      <c r="G35" s="51">
        <v>45532.0</v>
      </c>
      <c r="H35" s="52">
        <v>0.0</v>
      </c>
      <c r="I35" s="53">
        <v>0.0</v>
      </c>
      <c r="J35" s="46" t="s">
        <v>100</v>
      </c>
    </row>
    <row r="36">
      <c r="A36" s="7" t="s">
        <v>101</v>
      </c>
      <c r="B36" s="54" t="s">
        <v>102</v>
      </c>
      <c r="C36" s="55">
        <v>6.0</v>
      </c>
      <c r="D36" s="25">
        <v>3000.0</v>
      </c>
      <c r="E36" s="49" t="s">
        <v>17</v>
      </c>
      <c r="F36" s="50" t="s">
        <v>14</v>
      </c>
      <c r="G36" s="51">
        <v>45534.0</v>
      </c>
      <c r="H36" s="43">
        <v>15000.0</v>
      </c>
      <c r="I36" s="12">
        <v>0.0</v>
      </c>
      <c r="J36" s="48" t="s">
        <v>103</v>
      </c>
    </row>
    <row r="37">
      <c r="A37" s="7" t="s">
        <v>104</v>
      </c>
      <c r="B37" s="54" t="s">
        <v>105</v>
      </c>
      <c r="C37" s="55">
        <v>1.0</v>
      </c>
      <c r="D37" s="17"/>
      <c r="E37" s="17"/>
      <c r="F37" s="17"/>
      <c r="G37" s="17"/>
      <c r="H37" s="56"/>
      <c r="I37" s="56"/>
      <c r="J37" s="14"/>
    </row>
    <row r="38">
      <c r="A38" s="7" t="s">
        <v>106</v>
      </c>
      <c r="B38" s="57"/>
      <c r="C38" s="20"/>
      <c r="D38" s="17"/>
      <c r="E38" s="17"/>
      <c r="F38" s="17"/>
      <c r="G38" s="17"/>
      <c r="H38" s="17"/>
      <c r="I38" s="17"/>
      <c r="J38" s="58"/>
    </row>
    <row r="39">
      <c r="A39" s="7" t="s">
        <v>107</v>
      </c>
      <c r="B39" s="57"/>
      <c r="C39" s="41"/>
      <c r="D39" s="59" t="s">
        <v>108</v>
      </c>
      <c r="E39" s="60"/>
      <c r="F39" s="60"/>
      <c r="G39" s="60"/>
      <c r="H39" s="60"/>
      <c r="I39" s="61"/>
      <c r="J39" s="62"/>
    </row>
    <row r="40">
      <c r="A40" s="7" t="s">
        <v>109</v>
      </c>
      <c r="B40" s="57"/>
      <c r="C40" s="9"/>
      <c r="D40" s="63"/>
      <c r="I40" s="64"/>
      <c r="J40" s="62"/>
    </row>
    <row r="41">
      <c r="A41" s="7" t="s">
        <v>110</v>
      </c>
      <c r="B41" s="57"/>
      <c r="D41" s="65"/>
      <c r="E41" s="66"/>
      <c r="F41" s="66"/>
      <c r="G41" s="66"/>
      <c r="H41" s="66"/>
      <c r="I41" s="67"/>
      <c r="J41" s="62"/>
    </row>
    <row r="42">
      <c r="A42" s="7" t="s">
        <v>111</v>
      </c>
      <c r="B42" s="57"/>
      <c r="C42" s="68"/>
      <c r="D42" s="69"/>
      <c r="E42" s="69"/>
      <c r="F42" s="69"/>
      <c r="G42" s="69"/>
      <c r="H42" s="69"/>
      <c r="I42" s="69"/>
      <c r="J42" s="62"/>
    </row>
    <row r="43">
      <c r="A43" s="7" t="s">
        <v>112</v>
      </c>
      <c r="B43" s="57"/>
      <c r="C43" s="68"/>
      <c r="D43" s="69"/>
      <c r="E43" s="69"/>
      <c r="F43" s="69"/>
      <c r="G43" s="69"/>
      <c r="H43" s="69"/>
      <c r="I43" s="69"/>
      <c r="J43" s="69"/>
    </row>
    <row r="44">
      <c r="A44" s="7" t="s">
        <v>113</v>
      </c>
      <c r="B44" s="57"/>
      <c r="C44" s="68"/>
      <c r="D44" s="69"/>
      <c r="E44" s="69"/>
      <c r="F44" s="69"/>
      <c r="G44" s="69"/>
      <c r="H44" s="69"/>
      <c r="I44" s="69"/>
      <c r="J44" s="69"/>
    </row>
    <row r="45">
      <c r="A45" s="7" t="s">
        <v>114</v>
      </c>
      <c r="B45" s="54" t="s">
        <v>115</v>
      </c>
      <c r="C45" s="68"/>
      <c r="D45" s="69"/>
      <c r="E45" s="69"/>
      <c r="F45" s="69"/>
      <c r="G45" s="69"/>
      <c r="H45" s="69"/>
      <c r="I45" s="69"/>
      <c r="J45" s="69"/>
    </row>
    <row r="46">
      <c r="A46" s="7" t="s">
        <v>116</v>
      </c>
      <c r="B46" s="57"/>
      <c r="C46" s="68"/>
      <c r="D46" s="69"/>
      <c r="E46" s="69"/>
      <c r="F46" s="69"/>
      <c r="G46" s="69"/>
      <c r="H46" s="69"/>
      <c r="I46" s="69"/>
      <c r="J46" s="69"/>
    </row>
    <row r="47">
      <c r="A47" s="7" t="s">
        <v>117</v>
      </c>
      <c r="B47" s="57"/>
      <c r="C47" s="68"/>
      <c r="D47" s="69"/>
      <c r="E47" s="69"/>
      <c r="F47" s="69"/>
      <c r="G47" s="69"/>
      <c r="H47" s="69"/>
      <c r="I47" s="69"/>
      <c r="J47" s="69"/>
    </row>
    <row r="48">
      <c r="A48" s="7" t="s">
        <v>118</v>
      </c>
      <c r="B48" s="70"/>
      <c r="C48" s="71"/>
      <c r="D48" s="69"/>
      <c r="E48" s="69"/>
      <c r="F48" s="69"/>
      <c r="G48" s="69"/>
      <c r="H48" s="69"/>
      <c r="I48" s="69"/>
      <c r="J48" s="69"/>
    </row>
    <row r="49">
      <c r="A49" s="72"/>
      <c r="B49" s="73" t="s">
        <v>119</v>
      </c>
      <c r="C49" s="74">
        <f>SUM(C3:C48)</f>
        <v>73</v>
      </c>
    </row>
    <row r="51">
      <c r="B51" s="75" t="s">
        <v>120</v>
      </c>
      <c r="D51" s="76">
        <f>SUM(D3:D48)</f>
        <v>35790</v>
      </c>
    </row>
    <row r="56">
      <c r="B56" s="77" t="s">
        <v>121</v>
      </c>
      <c r="C56" s="78" t="s">
        <v>122</v>
      </c>
      <c r="D56" s="78" t="s">
        <v>123</v>
      </c>
      <c r="E56" s="78" t="s">
        <v>124</v>
      </c>
      <c r="F56" s="78" t="s">
        <v>125</v>
      </c>
      <c r="G56" s="78" t="s">
        <v>126</v>
      </c>
      <c r="H56" s="78" t="s">
        <v>127</v>
      </c>
      <c r="I56" s="78" t="s">
        <v>128</v>
      </c>
      <c r="J56" s="78" t="s">
        <v>129</v>
      </c>
      <c r="K56" s="79" t="s">
        <v>130</v>
      </c>
    </row>
    <row r="57">
      <c r="B57" s="80" t="s">
        <v>131</v>
      </c>
      <c r="C57" s="81">
        <v>25000.0</v>
      </c>
      <c r="D57" s="81">
        <v>18500.0</v>
      </c>
      <c r="E57" s="81">
        <v>20540.0</v>
      </c>
      <c r="F57" s="82">
        <v>19700.0</v>
      </c>
      <c r="G57" s="83">
        <v>23100.0</v>
      </c>
      <c r="H57" s="84">
        <v>21560.0</v>
      </c>
      <c r="I57" s="84">
        <v>19040.0</v>
      </c>
      <c r="J57" s="84">
        <f>SUM(D3:D5,D8,D10:D13,D16,D20:D21,D26:D28,D30:D33,D35:D36)</f>
        <v>29790</v>
      </c>
      <c r="K57" s="85">
        <f t="shared" ref="K57:K58" si="1">SUM(C57:J57)</f>
        <v>177230</v>
      </c>
    </row>
    <row r="58">
      <c r="B58" s="86" t="s">
        <v>22</v>
      </c>
      <c r="C58" s="81">
        <v>10000.0</v>
      </c>
      <c r="D58" s="81">
        <v>12500.0</v>
      </c>
      <c r="E58" s="81">
        <v>11000.0</v>
      </c>
      <c r="F58" s="82">
        <v>9040.0</v>
      </c>
      <c r="G58" s="83">
        <v>10035.0</v>
      </c>
      <c r="H58" s="84">
        <v>7000.0</v>
      </c>
      <c r="I58" s="84">
        <v>8620.0</v>
      </c>
      <c r="J58" s="84">
        <f>SUM(D6,D15,D19)</f>
        <v>6000</v>
      </c>
      <c r="K58" s="85">
        <f t="shared" si="1"/>
        <v>74195</v>
      </c>
    </row>
    <row r="59">
      <c r="B59" s="87" t="s">
        <v>132</v>
      </c>
      <c r="C59" s="88">
        <f>SUM(C57,C58)</f>
        <v>35000</v>
      </c>
      <c r="D59" s="88">
        <f t="shared" ref="D59:I59" si="2">SUM(D57:D58)</f>
        <v>31000</v>
      </c>
      <c r="E59" s="88">
        <f t="shared" si="2"/>
        <v>31540</v>
      </c>
      <c r="F59" s="89">
        <f t="shared" si="2"/>
        <v>28740</v>
      </c>
      <c r="G59" s="90">
        <f t="shared" si="2"/>
        <v>33135</v>
      </c>
      <c r="H59" s="91">
        <f t="shared" si="2"/>
        <v>28560</v>
      </c>
      <c r="I59" s="91">
        <f t="shared" si="2"/>
        <v>27660</v>
      </c>
      <c r="J59" s="91">
        <f>sum(J57:J58)</f>
        <v>35790</v>
      </c>
      <c r="K59" s="92">
        <f>SUM(K57:K58)</f>
        <v>251425</v>
      </c>
    </row>
    <row r="60">
      <c r="B60" s="93" t="s">
        <v>133</v>
      </c>
      <c r="C60" s="94">
        <f>SUM(C59:J59)</f>
        <v>251425</v>
      </c>
    </row>
  </sheetData>
  <mergeCells count="5">
    <mergeCell ref="A1:J1"/>
    <mergeCell ref="D39:I41"/>
    <mergeCell ref="B51:C54"/>
    <mergeCell ref="D51:G54"/>
    <mergeCell ref="C60:J60"/>
  </mergeCells>
  <conditionalFormatting sqref="A1:J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