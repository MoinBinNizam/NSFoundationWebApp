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, 2024" sheetId="1" r:id="rId5"/>
  </sheets>
  <definedNames/>
  <calcPr/>
</workbook>
</file>

<file path=xl/sharedStrings.xml><?xml version="1.0" encoding="utf-8"?>
<sst xmlns="http://schemas.openxmlformats.org/spreadsheetml/2006/main" count="170" uniqueCount="112">
  <si>
    <t>Month - March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</si>
  <si>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</si>
  <si>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</si>
  <si>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</si>
  <si>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</si>
  <si>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</si>
  <si>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</si>
  <si>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</si>
  <si>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</si>
  <si>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</si>
  <si>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</si>
  <si>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</si>
  <si>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</si>
  <si>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</si>
  <si>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</si>
  <si>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</si>
  <si>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</si>
  <si>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NSF003</t>
  </si>
  <si>
    <t>Moin Uddin -Accountant</t>
  </si>
  <si>
    <t>Bkash</t>
  </si>
  <si>
    <t>NSF004</t>
  </si>
  <si>
    <t>Nurul Amin Samrat -Asst. Acc</t>
  </si>
  <si>
    <t>Nagad</t>
  </si>
  <si>
    <t>Samrat</t>
  </si>
  <si>
    <t>NSF005</t>
  </si>
  <si>
    <t>Nayem Islam -GS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</si>
  <si>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</si>
  <si>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</si>
  <si>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</si>
  <si>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</si>
  <si>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</si>
  <si>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</si>
  <si>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</si>
  <si>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</si>
  <si>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</si>
  <si>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</si>
  <si>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</si>
  <si>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</si>
  <si>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</si>
  <si>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</si>
  <si>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NSF013</t>
  </si>
  <si>
    <t>H. M Ali Hossain</t>
  </si>
  <si>
    <t>February + Penalty + March amount. Received through Safique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</si>
  <si>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</si>
  <si>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</si>
  <si>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</si>
  <si>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</si>
  <si>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</si>
  <si>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</si>
  <si>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</si>
  <si>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</si>
  <si>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</si>
  <si>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</si>
  <si>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</si>
  <si>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</si>
  <si>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</si>
  <si>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</si>
  <si>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</si>
  <si>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</si>
  <si>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</si>
  <si>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</si>
  <si>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</si>
  <si>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</si>
  <si>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NSF024</t>
  </si>
  <si>
    <t>Arif - Gowranodi</t>
  </si>
  <si>
    <t>20TK penalty will be added on April</t>
  </si>
  <si>
    <t>NSF025</t>
  </si>
  <si>
    <t>Sible Iqbal</t>
  </si>
  <si>
    <t>40TK penalty will be added on April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</si>
  <si>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</si>
  <si>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</si>
  <si>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</si>
  <si>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</si>
  <si>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</si>
  <si>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</si>
  <si>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</si>
  <si>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</si>
  <si>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NSF030</t>
  </si>
  <si>
    <t>H. M Wali Ullah</t>
  </si>
  <si>
    <t>NSF031</t>
  </si>
  <si>
    <t>Yasin Arafat</t>
  </si>
  <si>
    <t>Paid</t>
  </si>
  <si>
    <t>Paid in January</t>
  </si>
  <si>
    <t>NSF032</t>
  </si>
  <si>
    <t>Ahsan Ul Tanvir</t>
  </si>
  <si>
    <t>NSF033</t>
  </si>
  <si>
    <t>H. M Sakawat Ullah</t>
  </si>
  <si>
    <t>NSF034</t>
  </si>
  <si>
    <t>Abu Bakar Rohan</t>
  </si>
  <si>
    <t>NSF035</t>
  </si>
  <si>
    <t>Mamunur Rashid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</si>
  <si>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</si>
  <si>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</si>
  <si>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</si>
  <si>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</si>
  <si>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</si>
  <si>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</si>
  <si>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</si>
  <si>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</si>
  <si>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</si>
  <si>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</si>
  <si>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</si>
  <si>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Total Share</t>
  </si>
  <si>
    <t>Total Amount</t>
  </si>
  <si>
    <t>Finance Holder</t>
  </si>
  <si>
    <t>January</t>
  </si>
  <si>
    <t>Feb</t>
  </si>
  <si>
    <t>March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</si>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</sst>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-yy"/>
    <numFmt numFmtId="165" formatCode="mm-dd-yy"/>
  </numFmts>
  <fonts count="32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sz val="13.0"/>
      <color theme="1"/>
      <name val="Arial"/>
      <scheme val="minor"/>
    </font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color theme="1"/>
      <name val="Arial"/>
      <scheme val="minor"/>
    </font>
    <font>
      <b/>
      <sz val="12.0"/>
      <color rgb="FF9900FF"/>
      <name val="Comfortaa"/>
    </font>
    <font>
      <b/>
      <sz val="12.0"/>
      <color rgb="FF000000"/>
      <name val="Comfortaa"/>
    </font>
    <font>
      <color rgb="FFFF0000"/>
      <name val="Arial"/>
      <scheme val="minor"/>
    </font>
    <font>
      <b/>
      <sz val="12.0"/>
      <color rgb="FFFF0000"/>
      <name val="Comfortaa"/>
    </font>
    <font>
      <b/>
      <sz val="12.0"/>
      <color rgb="FF0000FF"/>
      <name val="Comfortaa"/>
    </font>
    <font>
      <sz val="12.0"/>
      <color rgb="FF34A853"/>
      <name val="Arial"/>
      <scheme val="minor"/>
    </font>
    <font>
      <b/>
      <sz val="11.0"/>
      <color theme="1"/>
      <name val="Comfortaa"/>
    </font>
    <font>
      <sz val="12.0"/>
      <color rgb="FF9900FF"/>
      <name val="Comfortaa"/>
    </font>
    <font>
      <b/>
      <sz val="12.0"/>
      <color theme="1"/>
      <name val="EB Garamond"/>
    </font>
    <font>
      <b/>
      <sz val="17.0"/>
      <color rgb="FFFFFFFF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color theme="1"/>
      <name val="EB Garamond"/>
    </font>
    <font>
      <b/>
      <sz val="15.0"/>
      <color rgb="FFFFFFFF"/>
      <name val="Comfortaa"/>
    </font>
    <font>
      <b/>
      <sz val="15.0"/>
      <color theme="1"/>
      <name val="Comfortaa"/>
    </font>
    <font>
      <b/>
      <sz val="20.0"/>
      <color theme="1"/>
      <name val="Comfortaa"/>
    </font>
    <font>
      <b/>
      <sz val="17.0"/>
      <color theme="1"/>
      <name val="Comfortaa"/>
    </font>
    <font>
      <b/>
      <sz val="18.0"/>
      <color rgb="FFFF0000"/>
      <name val="Comfortaa"/>
    </font>
    <font>
      <b/>
      <sz val="20.0"/>
      <color rgb="FF000000"/>
      <name val="Comfortaa"/>
    </font>
    <font>
      <color theme="1"/>
      <name val="Comfortaa"/>
    </font>
    <font>
      <b/>
      <sz val="19.0"/>
      <color rgb="FFFFFFFF"/>
      <name val="Arial"/>
      <scheme val="minor"/>
    </font>
    <font>
      <b/>
      <sz val="29.0"/>
      <color rgb="FFFFFFFF"/>
      <name val="Comfortaa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ill="1" applyFont="1"/>
    <xf borderId="4" fillId="3" fontId="4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readingOrder="0" shrinkToFit="0" wrapText="1"/>
    </xf>
    <xf borderId="0" fillId="4" fontId="3" numFmtId="0" xfId="0" applyFill="1" applyFont="1"/>
    <xf borderId="4" fillId="5" fontId="6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left" readingOrder="0"/>
    </xf>
    <xf borderId="4" fillId="0" fontId="7" numFmtId="0" xfId="0" applyAlignment="1" applyBorder="1" applyFont="1">
      <alignment horizontal="center" readingOrder="0"/>
    </xf>
    <xf borderId="4" fillId="6" fontId="8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6" fontId="8" numFmtId="164" xfId="0" applyAlignment="1" applyBorder="1" applyFill="1" applyFont="1" applyNumberFormat="1">
      <alignment horizontal="center" readingOrder="0"/>
    </xf>
    <xf borderId="4" fillId="0" fontId="7" numFmtId="0" xfId="0" applyBorder="1" applyFont="1"/>
    <xf borderId="0" fillId="0" fontId="9" numFmtId="0" xfId="0" applyAlignment="1" applyFont="1">
      <alignment readingOrder="0"/>
    </xf>
    <xf borderId="3" fillId="6" fontId="8" numFmtId="0" xfId="0" applyAlignment="1" applyBorder="1" applyFill="1" applyFont="1">
      <alignment horizontal="center" vertical="bottom"/>
    </xf>
    <xf borderId="3" fillId="6" fontId="8" numFmtId="165" xfId="0" applyAlignment="1" applyBorder="1" applyFill="1" applyFont="1" applyNumberFormat="1">
      <alignment horizontal="center" readingOrder="0" vertical="bottom"/>
    </xf>
    <xf borderId="4" fillId="0" fontId="10" numFmtId="0" xfId="0" applyAlignment="1" applyBorder="1" applyFont="1">
      <alignment horizontal="center" readingOrder="0"/>
    </xf>
    <xf borderId="4" fillId="0" fontId="10" numFmtId="164" xfId="0" applyAlignment="1" applyBorder="1" applyFont="1" applyNumberFormat="1">
      <alignment horizontal="center" readingOrder="0"/>
    </xf>
    <xf borderId="4" fillId="6" fontId="7" numFmtId="0" xfId="0" applyAlignment="1" applyBorder="1" applyFill="1" applyFont="1">
      <alignment horizontal="left" readingOrder="0"/>
    </xf>
    <xf borderId="3" fillId="6" fontId="8" numFmtId="0" xfId="0" applyAlignment="1" applyBorder="1" applyFill="1" applyFont="1">
      <alignment horizontal="center" readingOrder="0"/>
    </xf>
    <xf borderId="3" fillId="6" fontId="8" numFmtId="164" xfId="0" applyAlignment="1" applyBorder="1" applyFill="1" applyFont="1" applyNumberFormat="1">
      <alignment horizontal="center" readingOrder="0"/>
    </xf>
    <xf borderId="3" fillId="0" fontId="8" numFmtId="0" xfId="0" applyAlignment="1" applyBorder="1" applyFont="1">
      <alignment horizontal="center" readingOrder="0"/>
    </xf>
    <xf borderId="4" fillId="6" fontId="8" numFmtId="0" xfId="0" applyAlignment="1" applyBorder="1" applyFill="1" applyFont="1">
      <alignment horizontal="center" vertical="bottom"/>
    </xf>
    <xf borderId="4" fillId="6" fontId="8" numFmtId="165" xfId="0" applyAlignment="1" applyBorder="1" applyFill="1" applyFont="1" applyNumberFormat="1">
      <alignment horizontal="center" readingOrder="0" vertical="bottom"/>
    </xf>
    <xf borderId="4" fillId="6" fontId="10" numFmtId="0" xfId="0" applyAlignment="1" applyBorder="1" applyFill="1" applyFont="1">
      <alignment horizontal="center" readingOrder="0"/>
    </xf>
    <xf borderId="4" fillId="6" fontId="11" numFmtId="0" xfId="0" applyAlignment="1" applyBorder="1" applyFill="1" applyFont="1">
      <alignment horizontal="left" readingOrder="0"/>
    </xf>
    <xf borderId="4" fillId="6" fontId="7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readingOrder="0"/>
    </xf>
    <xf borderId="4" fillId="0" fontId="10" numFmtId="165" xfId="0" applyAlignment="1" applyBorder="1" applyFont="1" applyNumberForma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0" numFmtId="164" xfId="0" applyAlignment="1" applyBorder="1" applyFont="1" applyNumberFormat="1">
      <alignment horizontal="center" readingOrder="0"/>
    </xf>
    <xf borderId="0" fillId="6" fontId="9" numFmtId="0" xfId="0" applyFill="1" applyFont="1"/>
    <xf borderId="4" fillId="6" fontId="7" numFmtId="0" xfId="0" applyBorder="1" applyFill="1" applyFont="1"/>
    <xf borderId="0" fillId="6" fontId="9" numFmtId="0" xfId="0" applyAlignment="1" applyFill="1" applyFont="1">
      <alignment readingOrder="0"/>
    </xf>
    <xf borderId="0" fillId="0" fontId="12" numFmtId="0" xfId="0" applyFont="1"/>
    <xf borderId="4" fillId="0" fontId="11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center" readingOrder="0"/>
    </xf>
    <xf borderId="3" fillId="6" fontId="13" numFmtId="0" xfId="0" applyAlignment="1" applyBorder="1" applyFill="1" applyFont="1">
      <alignment horizontal="center" readingOrder="0"/>
    </xf>
    <xf borderId="4" fillId="6" fontId="13" numFmtId="0" xfId="0" applyAlignment="1" applyBorder="1" applyFill="1" applyFont="1">
      <alignment readingOrder="0" shrinkToFit="0" wrapText="1"/>
    </xf>
    <xf borderId="0" fillId="0" fontId="12" numFmtId="0" xfId="0" applyAlignment="1" applyFont="1">
      <alignment readingOrder="0"/>
    </xf>
    <xf borderId="4" fillId="6" fontId="11" numFmtId="0" xfId="0" applyAlignment="1" applyBorder="1" applyFill="1" applyFont="1">
      <alignment horizontal="center" readingOrder="0"/>
    </xf>
    <xf borderId="4" fillId="2" fontId="8" numFmtId="0" xfId="0" applyAlignment="1" applyBorder="1" applyFill="1" applyFont="1">
      <alignment horizontal="center" vertical="bottom"/>
    </xf>
    <xf borderId="4" fillId="6" fontId="13" numFmtId="0" xfId="0" applyAlignment="1" applyBorder="1" applyFill="1" applyFont="1">
      <alignment horizontal="center" readingOrder="0" vertical="bottom"/>
    </xf>
    <xf borderId="4" fillId="2" fontId="7" numFmtId="0" xfId="0" applyAlignment="1" applyBorder="1" applyFill="1" applyFont="1">
      <alignment horizontal="left" readingOrder="0"/>
    </xf>
    <xf borderId="4" fillId="2" fontId="7" numFmtId="0" xfId="0" applyAlignment="1" applyBorder="1" applyFill="1" applyFont="1">
      <alignment horizontal="center" readingOrder="0"/>
    </xf>
    <xf borderId="4" fillId="2" fontId="14" numFmtId="0" xfId="0" applyAlignment="1" applyBorder="1" applyFill="1" applyFont="1">
      <alignment horizontal="center" readingOrder="0"/>
    </xf>
    <xf borderId="3" fillId="2" fontId="8" numFmtId="0" xfId="0" applyAlignment="1" applyBorder="1" applyFill="1" applyFont="1">
      <alignment horizontal="center" readingOrder="0"/>
    </xf>
    <xf borderId="4" fillId="2" fontId="7" numFmtId="165" xfId="0" applyAlignment="1" applyBorder="1" applyFill="1" applyFont="1" applyNumberFormat="1">
      <alignment horizontal="center" readingOrder="0"/>
    </xf>
    <xf borderId="4" fillId="2" fontId="13" numFmtId="0" xfId="0" applyAlignment="1" applyBorder="1" applyFill="1" applyFont="1">
      <alignment horizontal="center" readingOrder="0"/>
    </xf>
    <xf borderId="4" fillId="6" fontId="8" numFmtId="0" xfId="0" applyAlignment="1" applyBorder="1" applyFill="1" applyFont="1">
      <alignment readingOrder="0" shrinkToFit="0" wrapText="1"/>
    </xf>
    <xf borderId="4" fillId="6" fontId="8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4" fillId="2" fontId="11" numFmtId="0" xfId="0" applyAlignment="1" applyBorder="1" applyFill="1" applyFont="1">
      <alignment horizontal="left" readingOrder="0"/>
    </xf>
    <xf borderId="4" fillId="6" fontId="16" numFmtId="0" xfId="0" applyAlignment="1" applyBorder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/>
    </xf>
    <xf borderId="3" fillId="2" fontId="14" numFmtId="0" xfId="0" applyAlignment="1" applyBorder="1" applyFill="1" applyFont="1">
      <alignment horizontal="center" vertical="bottom"/>
    </xf>
    <xf borderId="4" fillId="0" fontId="17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left"/>
    </xf>
    <xf borderId="4" fillId="0" fontId="18" numFmtId="0" xfId="0" applyAlignment="1" applyBorder="1" applyFont="1">
      <alignment horizontal="left"/>
    </xf>
    <xf borderId="4" fillId="0" fontId="18" numFmtId="0" xfId="0" applyAlignment="1" applyBorder="1" applyFont="1">
      <alignment horizontal="center"/>
    </xf>
    <xf borderId="4" fillId="0" fontId="18" numFmtId="0" xfId="0" applyBorder="1" applyFont="1"/>
    <xf borderId="0" fillId="0" fontId="7" numFmtId="0" xfId="0" applyAlignment="1" applyFont="1">
      <alignment horizontal="center"/>
    </xf>
    <xf borderId="4" fillId="7" fontId="19" numFmtId="0" xfId="0" applyAlignment="1" applyBorder="1" applyFill="1" applyFont="1">
      <alignment horizontal="left" readingOrder="0"/>
    </xf>
    <xf borderId="4" fillId="7" fontId="19" numFmtId="0" xfId="0" applyAlignment="1" applyBorder="1" applyFill="1" applyFont="1">
      <alignment horizontal="center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20" numFmtId="0" xfId="0" applyAlignment="1" applyFont="1">
      <alignment horizontal="center"/>
    </xf>
    <xf borderId="0" fillId="8" fontId="21" numFmtId="0" xfId="0" applyAlignment="1" applyFill="1" applyFont="1">
      <alignment horizontal="center" readingOrder="0" vertical="center"/>
    </xf>
    <xf borderId="0" fillId="4" fontId="21" numFmtId="0" xfId="0" applyAlignment="1" applyFill="1" applyFont="1">
      <alignment horizontal="center" vertical="center"/>
    </xf>
    <xf borderId="0" fillId="0" fontId="22" numFmtId="0" xfId="0" applyAlignment="1" applyFont="1">
      <alignment horizontal="center"/>
    </xf>
    <xf borderId="0" fillId="0" fontId="22" numFmtId="0" xfId="0" applyFont="1"/>
    <xf borderId="0" fillId="0" fontId="20" numFmtId="0" xfId="0" applyAlignment="1" applyFont="1">
      <alignment horizontal="left"/>
    </xf>
    <xf borderId="4" fillId="3" fontId="23" numFmtId="0" xfId="0" applyAlignment="1" applyBorder="1" applyFill="1" applyFont="1">
      <alignment horizontal="center" readingOrder="0"/>
    </xf>
    <xf borderId="4" fillId="3" fontId="19" numFmtId="0" xfId="0" applyAlignment="1" applyBorder="1" applyFill="1" applyFont="1">
      <alignment horizontal="center" readingOrder="0"/>
    </xf>
    <xf borderId="4" fillId="0" fontId="24" numFmtId="0" xfId="0" applyAlignment="1" applyBorder="1" applyFont="1">
      <alignment horizontal="left" readingOrder="0"/>
    </xf>
    <xf borderId="4" fillId="0" fontId="25" numFmtId="0" xfId="0" applyAlignment="1" applyBorder="1" applyFont="1">
      <alignment horizontal="center" readingOrder="0"/>
    </xf>
    <xf borderId="4" fillId="0" fontId="25" numFmtId="0" xfId="0" applyAlignment="1" applyBorder="1" applyFont="1">
      <alignment horizontal="center"/>
    </xf>
    <xf borderId="4" fillId="2" fontId="26" numFmtId="0" xfId="0" applyAlignment="1" applyBorder="1" applyFill="1" applyFont="1">
      <alignment horizontal="center"/>
    </xf>
    <xf borderId="0" fillId="0" fontId="20" numFmtId="0" xfId="0" applyAlignment="1" applyFont="1">
      <alignment horizontal="center" vertical="center"/>
    </xf>
    <xf borderId="4" fillId="2" fontId="27" numFmtId="0" xfId="0" applyAlignment="1" applyBorder="1" applyFill="1" applyFont="1">
      <alignment horizontal="center" readingOrder="0" shrinkToFit="0" vertical="center" wrapText="1"/>
    </xf>
    <xf borderId="4" fillId="2" fontId="28" numFmtId="0" xfId="0" applyAlignment="1" applyBorder="1" applyFill="1" applyFont="1">
      <alignment horizontal="center" vertical="center"/>
    </xf>
    <xf borderId="4" fillId="2" fontId="25" numFmtId="0" xfId="0" applyAlignment="1" applyBorder="1" applyFill="1" applyFont="1">
      <alignment horizontal="center" vertical="center"/>
    </xf>
    <xf borderId="4" fillId="9" fontId="19" numFmtId="0" xfId="0" applyAlignment="1" applyBorder="1" applyFill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29" numFmtId="0" xfId="0" applyAlignment="1" applyFont="1">
      <alignment horizontal="center"/>
    </xf>
    <xf borderId="0" fillId="10" fontId="30" numFmtId="0" xfId="0" applyAlignment="1" applyFill="1" applyFont="1">
      <alignment readingOrder="0" vertical="center"/>
    </xf>
    <xf borderId="0" fillId="11" fontId="31" numFmtId="0" xfId="0" applyAlignment="1" applyFill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0"/>
    <col customWidth="1" min="2" max="2" width="37.25"/>
    <col customWidth="1" min="3" max="3" width="14.88"/>
    <col customWidth="1" min="4" max="4" width="10.5"/>
    <col customWidth="1" min="5" max="5" width="11.13"/>
    <col customWidth="1" min="6" max="6" width="11.25"/>
    <col customWidth="1" min="7" max="7" width="16.0"/>
    <col customWidth="1" min="8" max="8" width="5.38"/>
    <col customWidth="1" min="9" max="9" width="8.5"/>
    <col customWidth="1" min="10" max="10" width="66.13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11</v>
      </c>
      <c r="B3" s="10" t="s">
        <v>12</v>
      </c>
      <c r="C3" s="11">
        <v>5.0</v>
      </c>
      <c r="D3" s="12">
        <v>2500.0</v>
      </c>
      <c r="E3" s="12" t="s">
        <v>13</v>
      </c>
      <c r="F3" s="13" t="s">
        <v>14</v>
      </c>
      <c r="G3" s="14">
        <v>45361.0</v>
      </c>
      <c r="H3" s="13">
        <v>0.0</v>
      </c>
      <c r="I3" s="13">
        <v>0.0</v>
      </c>
      <c r="J3" s="15"/>
      <c r="L3" s="16"/>
    </row>
    <row r="4">
      <c r="A4" s="9" t="s">
        <v>15</v>
      </c>
      <c r="B4" s="10" t="s">
        <v>16</v>
      </c>
      <c r="C4" s="11">
        <v>4.0</v>
      </c>
      <c r="D4" s="12">
        <v>2000.0</v>
      </c>
      <c r="E4" s="12" t="s">
        <v>13</v>
      </c>
      <c r="F4" s="13" t="s">
        <v>14</v>
      </c>
      <c r="G4" s="14">
        <v>45355.0</v>
      </c>
      <c r="H4" s="13">
        <v>0.0</v>
      </c>
      <c r="I4" s="13">
        <v>0.0</v>
      </c>
      <c r="J4" s="15"/>
      <c r="L4" s="16"/>
    </row>
    <row r="5">
      <c r="A5" s="9" t="s">
        <v>17</v>
      </c>
      <c r="B5" s="10" t="s">
        <v>18</v>
      </c>
      <c r="C5" s="11">
        <v>2.0</v>
      </c>
      <c r="D5" s="12">
        <v>1000.0</v>
      </c>
      <c r="E5" s="17" t="s">
        <v>19</v>
      </c>
      <c r="F5" s="13" t="s">
        <v>14</v>
      </c>
      <c r="G5" s="18">
        <v>45365.0</v>
      </c>
      <c r="H5" s="17">
        <v>0.0</v>
      </c>
      <c r="I5" s="17">
        <v>0.0</v>
      </c>
      <c r="J5" s="15"/>
      <c r="L5" s="16"/>
    </row>
    <row r="6">
      <c r="A6" s="9" t="s">
        <v>20</v>
      </c>
      <c r="B6" s="10" t="s">
        <v>21</v>
      </c>
      <c r="C6" s="11">
        <v>4.0</v>
      </c>
      <c r="D6" s="19">
        <v>2000.0</v>
      </c>
      <c r="E6" s="19" t="s">
        <v>22</v>
      </c>
      <c r="F6" s="19" t="s">
        <v>23</v>
      </c>
      <c r="G6" s="20">
        <v>45361.0</v>
      </c>
      <c r="H6" s="19">
        <v>0.0</v>
      </c>
      <c r="I6" s="19">
        <v>0.0</v>
      </c>
      <c r="J6" s="15"/>
      <c r="L6" s="16"/>
    </row>
    <row r="7">
      <c r="A7" s="11" t="s">
        <v>24</v>
      </c>
      <c r="B7" s="21" t="s">
        <v>25</v>
      </c>
      <c r="C7" s="11">
        <v>2.0</v>
      </c>
      <c r="D7" s="12">
        <v>1000.0</v>
      </c>
      <c r="E7" s="22" t="s">
        <v>13</v>
      </c>
      <c r="F7" s="13" t="s">
        <v>14</v>
      </c>
      <c r="G7" s="23">
        <v>45358.0</v>
      </c>
      <c r="H7" s="24">
        <v>0.0</v>
      </c>
      <c r="I7" s="24">
        <v>0.0</v>
      </c>
      <c r="J7" s="15"/>
      <c r="L7" s="16"/>
    </row>
    <row r="8">
      <c r="A8" s="11" t="s">
        <v>26</v>
      </c>
      <c r="B8" s="21" t="s">
        <v>27</v>
      </c>
      <c r="C8" s="11">
        <v>1.0</v>
      </c>
      <c r="D8" s="25">
        <v>500.0</v>
      </c>
      <c r="E8" s="17" t="s">
        <v>19</v>
      </c>
      <c r="F8" s="13" t="s">
        <v>14</v>
      </c>
      <c r="G8" s="18">
        <v>45362.0</v>
      </c>
      <c r="H8" s="17">
        <v>0.0</v>
      </c>
      <c r="I8" s="17">
        <v>0.0</v>
      </c>
      <c r="J8" s="15"/>
      <c r="L8" s="16"/>
    </row>
    <row r="9">
      <c r="A9" s="11" t="s">
        <v>28</v>
      </c>
      <c r="B9" s="21" t="s">
        <v>29</v>
      </c>
      <c r="C9" s="11">
        <v>1.0</v>
      </c>
      <c r="D9" s="25">
        <v>500.0</v>
      </c>
      <c r="E9" s="25" t="s">
        <v>19</v>
      </c>
      <c r="F9" s="13" t="s">
        <v>14</v>
      </c>
      <c r="G9" s="26">
        <v>45366.0</v>
      </c>
      <c r="H9" s="25">
        <v>0.0</v>
      </c>
      <c r="I9" s="25">
        <v>0.0</v>
      </c>
      <c r="J9" s="15"/>
      <c r="L9" s="16"/>
    </row>
    <row r="10">
      <c r="A10" s="11" t="s">
        <v>30</v>
      </c>
      <c r="B10" s="21" t="s">
        <v>31</v>
      </c>
      <c r="C10" s="11">
        <v>1.0</v>
      </c>
      <c r="D10" s="25">
        <v>500.0</v>
      </c>
      <c r="E10" s="17" t="s">
        <v>19</v>
      </c>
      <c r="F10" s="13" t="s">
        <v>14</v>
      </c>
      <c r="G10" s="18">
        <v>45365.0</v>
      </c>
      <c r="H10" s="17">
        <v>0.0</v>
      </c>
      <c r="I10" s="17">
        <v>0.0</v>
      </c>
      <c r="J10" s="15"/>
      <c r="L10" s="16"/>
    </row>
    <row r="11">
      <c r="A11" s="11" t="s">
        <v>32</v>
      </c>
      <c r="B11" s="21" t="s">
        <v>33</v>
      </c>
      <c r="C11" s="11">
        <v>1.0</v>
      </c>
      <c r="D11" s="25">
        <v>500.0</v>
      </c>
      <c r="E11" s="17" t="s">
        <v>19</v>
      </c>
      <c r="F11" s="13" t="s">
        <v>14</v>
      </c>
      <c r="G11" s="26">
        <v>45366.0</v>
      </c>
      <c r="H11" s="25">
        <v>0.0</v>
      </c>
      <c r="I11" s="25">
        <v>0.0</v>
      </c>
      <c r="J11" s="15"/>
      <c r="L11" s="16"/>
    </row>
    <row r="12">
      <c r="A12" s="11" t="s">
        <v>34</v>
      </c>
      <c r="B12" s="21" t="s">
        <v>35</v>
      </c>
      <c r="C12" s="11">
        <v>1.0</v>
      </c>
      <c r="D12" s="12">
        <v>500.0</v>
      </c>
      <c r="E12" s="25" t="s">
        <v>19</v>
      </c>
      <c r="F12" s="13" t="s">
        <v>14</v>
      </c>
      <c r="G12" s="14">
        <v>45365.0</v>
      </c>
      <c r="H12" s="13">
        <v>0.0</v>
      </c>
      <c r="I12" s="13">
        <v>0.0</v>
      </c>
      <c r="J12" s="15"/>
      <c r="L12" s="16"/>
    </row>
    <row r="13">
      <c r="A13" s="11" t="s">
        <v>36</v>
      </c>
      <c r="B13" s="21" t="s">
        <v>37</v>
      </c>
      <c r="C13" s="11">
        <v>2.0</v>
      </c>
      <c r="D13" s="27">
        <v>1000.0</v>
      </c>
      <c r="E13" s="19" t="s">
        <v>22</v>
      </c>
      <c r="F13" s="19" t="s">
        <v>23</v>
      </c>
      <c r="G13" s="20">
        <v>45364.0</v>
      </c>
      <c r="H13" s="19">
        <v>0.0</v>
      </c>
      <c r="I13" s="19">
        <v>0.0</v>
      </c>
      <c r="J13" s="15"/>
      <c r="L13" s="16"/>
    </row>
    <row r="14">
      <c r="A14" s="11" t="s">
        <v>38</v>
      </c>
      <c r="B14" s="21" t="s">
        <v>39</v>
      </c>
      <c r="C14" s="11">
        <v>2.0</v>
      </c>
      <c r="D14" s="19">
        <v>1000.0</v>
      </c>
      <c r="E14" s="19" t="s">
        <v>22</v>
      </c>
      <c r="F14" s="19" t="s">
        <v>23</v>
      </c>
      <c r="G14" s="20">
        <v>45365.0</v>
      </c>
      <c r="H14" s="19">
        <v>0.0</v>
      </c>
      <c r="I14" s="19">
        <v>0.0</v>
      </c>
      <c r="J14" s="15"/>
      <c r="L14" s="16"/>
    </row>
    <row r="15">
      <c r="A15" s="11" t="s">
        <v>40</v>
      </c>
      <c r="B15" s="28" t="s">
        <v>41</v>
      </c>
      <c r="C15" s="29">
        <v>2.0</v>
      </c>
      <c r="D15" s="12">
        <v>2040.0</v>
      </c>
      <c r="E15" s="12" t="s">
        <v>13</v>
      </c>
      <c r="F15" s="13" t="s">
        <v>14</v>
      </c>
      <c r="G15" s="14">
        <v>45355.0</v>
      </c>
      <c r="H15" s="13">
        <v>0.0</v>
      </c>
      <c r="I15" s="13">
        <v>40.0</v>
      </c>
      <c r="J15" s="30" t="s">
        <v>42</v>
      </c>
      <c r="L15" s="16"/>
    </row>
    <row r="16">
      <c r="A16" s="11" t="s">
        <v>43</v>
      </c>
      <c r="B16" s="21" t="s">
        <v>44</v>
      </c>
      <c r="C16" s="11">
        <v>6.0</v>
      </c>
      <c r="D16" s="12">
        <v>3000.0</v>
      </c>
      <c r="E16" s="12" t="s">
        <v>13</v>
      </c>
      <c r="F16" s="13" t="s">
        <v>14</v>
      </c>
      <c r="G16" s="14">
        <v>45364.0</v>
      </c>
      <c r="H16" s="13">
        <v>0.0</v>
      </c>
      <c r="I16" s="13">
        <v>0.0</v>
      </c>
      <c r="J16" s="15"/>
      <c r="L16" s="16"/>
    </row>
    <row r="17">
      <c r="A17" s="11" t="s">
        <v>45</v>
      </c>
      <c r="B17" s="21" t="s">
        <v>46</v>
      </c>
      <c r="C17" s="11">
        <v>1.0</v>
      </c>
      <c r="D17" s="12">
        <v>500.0</v>
      </c>
      <c r="E17" s="12" t="s">
        <v>13</v>
      </c>
      <c r="F17" s="13" t="s">
        <v>14</v>
      </c>
      <c r="G17" s="14">
        <v>45358.0</v>
      </c>
      <c r="H17" s="13">
        <v>0.0</v>
      </c>
      <c r="I17" s="13">
        <v>0.0</v>
      </c>
      <c r="J17" s="15"/>
      <c r="L17" s="16"/>
    </row>
    <row r="18">
      <c r="A18" s="11" t="s">
        <v>47</v>
      </c>
      <c r="B18" s="21" t="s">
        <v>48</v>
      </c>
      <c r="C18" s="11">
        <v>1.0</v>
      </c>
      <c r="D18" s="19">
        <v>500.0</v>
      </c>
      <c r="E18" s="19" t="s">
        <v>22</v>
      </c>
      <c r="F18" s="19" t="s">
        <v>23</v>
      </c>
      <c r="G18" s="20">
        <v>45366.0</v>
      </c>
      <c r="H18" s="19">
        <v>0.0</v>
      </c>
      <c r="I18" s="19">
        <v>0.0</v>
      </c>
      <c r="J18" s="15"/>
      <c r="L18" s="16"/>
    </row>
    <row r="19">
      <c r="A19" s="11" t="s">
        <v>49</v>
      </c>
      <c r="B19" s="21" t="s">
        <v>50</v>
      </c>
      <c r="C19" s="11">
        <v>4.0</v>
      </c>
      <c r="D19" s="19">
        <v>2000.0</v>
      </c>
      <c r="E19" s="19" t="s">
        <v>22</v>
      </c>
      <c r="F19" s="19" t="s">
        <v>23</v>
      </c>
      <c r="G19" s="20">
        <v>45364.0</v>
      </c>
      <c r="H19" s="19">
        <v>0.0</v>
      </c>
      <c r="I19" s="19">
        <v>0.0</v>
      </c>
      <c r="J19" s="15"/>
      <c r="L19" s="16"/>
    </row>
    <row r="20">
      <c r="A20" s="11" t="s">
        <v>51</v>
      </c>
      <c r="B20" s="21" t="s">
        <v>52</v>
      </c>
      <c r="C20" s="11">
        <v>2.0</v>
      </c>
      <c r="D20" s="12">
        <v>1000.0</v>
      </c>
      <c r="E20" s="12" t="s">
        <v>13</v>
      </c>
      <c r="F20" s="13" t="s">
        <v>14</v>
      </c>
      <c r="G20" s="14">
        <v>45359.0</v>
      </c>
      <c r="H20" s="13">
        <v>0.0</v>
      </c>
      <c r="I20" s="13">
        <v>0.0</v>
      </c>
      <c r="J20" s="15"/>
      <c r="L20" s="16"/>
    </row>
    <row r="21">
      <c r="A21" s="11" t="s">
        <v>53</v>
      </c>
      <c r="B21" s="21" t="s">
        <v>54</v>
      </c>
      <c r="C21" s="11">
        <v>2.0</v>
      </c>
      <c r="D21" s="12">
        <v>1000.0</v>
      </c>
      <c r="E21" s="12" t="s">
        <v>13</v>
      </c>
      <c r="F21" s="13" t="s">
        <v>14</v>
      </c>
      <c r="G21" s="14">
        <v>45359.0</v>
      </c>
      <c r="H21" s="13">
        <v>0.0</v>
      </c>
      <c r="I21" s="13">
        <v>0.0</v>
      </c>
      <c r="J21" s="15"/>
      <c r="L21" s="16"/>
    </row>
    <row r="22">
      <c r="A22" s="11" t="s">
        <v>55</v>
      </c>
      <c r="B22" s="21" t="s">
        <v>56</v>
      </c>
      <c r="C22" s="11">
        <v>1.0</v>
      </c>
      <c r="D22" s="19">
        <v>500.0</v>
      </c>
      <c r="E22" s="19" t="s">
        <v>22</v>
      </c>
      <c r="F22" s="19" t="s">
        <v>23</v>
      </c>
      <c r="G22" s="20">
        <v>45365.0</v>
      </c>
      <c r="H22" s="19">
        <v>0.0</v>
      </c>
      <c r="I22" s="19">
        <v>0.0</v>
      </c>
      <c r="J22" s="15"/>
      <c r="L22" s="16"/>
    </row>
    <row r="23">
      <c r="A23" s="11" t="s">
        <v>57</v>
      </c>
      <c r="B23" s="21" t="s">
        <v>58</v>
      </c>
      <c r="C23" s="11">
        <v>2.0</v>
      </c>
      <c r="D23" s="19">
        <v>1000.0</v>
      </c>
      <c r="E23" s="19" t="s">
        <v>22</v>
      </c>
      <c r="F23" s="19" t="s">
        <v>23</v>
      </c>
      <c r="G23" s="31">
        <v>45365.0</v>
      </c>
      <c r="H23" s="19">
        <v>0.0</v>
      </c>
      <c r="I23" s="19">
        <v>0.0</v>
      </c>
      <c r="J23" s="15"/>
      <c r="L23" s="16"/>
    </row>
    <row r="24">
      <c r="A24" s="11" t="s">
        <v>59</v>
      </c>
      <c r="B24" s="21" t="s">
        <v>60</v>
      </c>
      <c r="C24" s="11">
        <v>2.0</v>
      </c>
      <c r="D24" s="19">
        <v>1000.0</v>
      </c>
      <c r="E24" s="32" t="s">
        <v>22</v>
      </c>
      <c r="F24" s="32" t="s">
        <v>23</v>
      </c>
      <c r="G24" s="33">
        <v>45365.0</v>
      </c>
      <c r="H24" s="32">
        <v>0.0</v>
      </c>
      <c r="I24" s="32">
        <v>0.0</v>
      </c>
      <c r="J24" s="15"/>
      <c r="L24" s="16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1" t="s">
        <v>61</v>
      </c>
      <c r="B25" s="21" t="s">
        <v>62</v>
      </c>
      <c r="C25" s="29">
        <v>1.0</v>
      </c>
      <c r="D25" s="25">
        <v>500.0</v>
      </c>
      <c r="E25" s="25" t="s">
        <v>19</v>
      </c>
      <c r="F25" s="25" t="s">
        <v>14</v>
      </c>
      <c r="G25" s="26">
        <v>45363.0</v>
      </c>
      <c r="H25" s="25">
        <v>0.0</v>
      </c>
      <c r="I25" s="25">
        <v>0.0</v>
      </c>
      <c r="J25" s="35"/>
      <c r="K25" s="34"/>
      <c r="L25" s="3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11" t="s">
        <v>63</v>
      </c>
      <c r="B26" s="38" t="s">
        <v>64</v>
      </c>
      <c r="C26" s="39">
        <v>1.0</v>
      </c>
      <c r="D26" s="12">
        <v>500.0</v>
      </c>
      <c r="E26" s="22" t="s">
        <v>13</v>
      </c>
      <c r="F26" s="22" t="s">
        <v>14</v>
      </c>
      <c r="G26" s="23">
        <v>45367.0</v>
      </c>
      <c r="H26" s="40">
        <v>20.0</v>
      </c>
      <c r="I26" s="40">
        <v>20.0</v>
      </c>
      <c r="J26" s="41" t="s">
        <v>65</v>
      </c>
      <c r="K26" s="37"/>
      <c r="L26" s="42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11" t="s">
        <v>66</v>
      </c>
      <c r="B27" s="28" t="s">
        <v>67</v>
      </c>
      <c r="C27" s="43">
        <v>2.0</v>
      </c>
      <c r="D27" s="12">
        <v>1000.0</v>
      </c>
      <c r="E27" s="25" t="s">
        <v>19</v>
      </c>
      <c r="F27" s="44" t="s">
        <v>14</v>
      </c>
      <c r="G27" s="26">
        <v>45375.0</v>
      </c>
      <c r="H27" s="45">
        <v>40.0</v>
      </c>
      <c r="I27" s="45">
        <v>40.0</v>
      </c>
      <c r="J27" s="41" t="s">
        <v>68</v>
      </c>
      <c r="K27" s="37"/>
      <c r="L27" s="42"/>
    </row>
    <row r="28">
      <c r="A28" s="11" t="s">
        <v>69</v>
      </c>
      <c r="B28" s="21" t="s">
        <v>70</v>
      </c>
      <c r="C28" s="11">
        <v>1.0</v>
      </c>
      <c r="D28" s="12">
        <v>500.0</v>
      </c>
      <c r="E28" s="12" t="s">
        <v>13</v>
      </c>
      <c r="F28" s="12" t="s">
        <v>14</v>
      </c>
      <c r="G28" s="14">
        <v>45364.0</v>
      </c>
      <c r="H28" s="13">
        <v>0.0</v>
      </c>
      <c r="I28" s="13">
        <v>0.0</v>
      </c>
      <c r="J28" s="15"/>
      <c r="L28" s="16"/>
    </row>
    <row r="29">
      <c r="A29" s="11" t="s">
        <v>71</v>
      </c>
      <c r="B29" s="46" t="s">
        <v>72</v>
      </c>
      <c r="C29" s="47">
        <v>2.0</v>
      </c>
      <c r="D29" s="47"/>
      <c r="E29" s="48"/>
      <c r="F29" s="49"/>
      <c r="G29" s="50"/>
      <c r="H29" s="51">
        <v>1040.0</v>
      </c>
      <c r="I29" s="51">
        <v>40.0</v>
      </c>
      <c r="J29" s="15"/>
      <c r="L29" s="16"/>
    </row>
    <row r="30">
      <c r="A30" s="11" t="s">
        <v>73</v>
      </c>
      <c r="B30" s="21" t="s">
        <v>74</v>
      </c>
      <c r="C30" s="11">
        <v>2.0</v>
      </c>
      <c r="D30" s="19">
        <v>1000.0</v>
      </c>
      <c r="E30" s="19" t="s">
        <v>22</v>
      </c>
      <c r="F30" s="19" t="s">
        <v>23</v>
      </c>
      <c r="G30" s="20">
        <v>45361.0</v>
      </c>
      <c r="H30" s="19">
        <v>0.0</v>
      </c>
      <c r="I30" s="19">
        <v>0.0</v>
      </c>
      <c r="J30" s="15"/>
      <c r="L30" s="16"/>
    </row>
    <row r="31">
      <c r="A31" s="11" t="s">
        <v>75</v>
      </c>
      <c r="B31" s="21" t="s">
        <v>76</v>
      </c>
      <c r="C31" s="11">
        <v>1.0</v>
      </c>
      <c r="D31" s="12">
        <v>500.0</v>
      </c>
      <c r="E31" s="12" t="s">
        <v>13</v>
      </c>
      <c r="F31" s="13" t="s">
        <v>14</v>
      </c>
      <c r="G31" s="14">
        <v>45355.0</v>
      </c>
      <c r="H31" s="13">
        <v>0.0</v>
      </c>
      <c r="I31" s="13">
        <v>0.0</v>
      </c>
      <c r="J31" s="15"/>
      <c r="L31" s="16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1" t="s">
        <v>77</v>
      </c>
      <c r="B32" s="21" t="s">
        <v>78</v>
      </c>
      <c r="C32" s="29">
        <v>2.0</v>
      </c>
      <c r="D32" s="12">
        <v>1000.0</v>
      </c>
      <c r="E32" s="22" t="s">
        <v>13</v>
      </c>
      <c r="F32" s="13" t="s">
        <v>14</v>
      </c>
      <c r="G32" s="23">
        <v>45361.0</v>
      </c>
      <c r="H32" s="24">
        <v>0.0</v>
      </c>
      <c r="I32" s="24">
        <v>0.0</v>
      </c>
      <c r="J32" s="52"/>
      <c r="K32" s="34"/>
      <c r="L32" s="36"/>
    </row>
    <row r="33">
      <c r="A33" s="11" t="s">
        <v>79</v>
      </c>
      <c r="B33" s="21" t="s">
        <v>80</v>
      </c>
      <c r="C33" s="29">
        <v>1.0</v>
      </c>
      <c r="D33" s="53" t="s">
        <v>81</v>
      </c>
      <c r="E33" s="17" t="s">
        <v>19</v>
      </c>
      <c r="F33" s="17" t="s">
        <v>14</v>
      </c>
      <c r="G33" s="18">
        <v>45321.0</v>
      </c>
      <c r="H33" s="17">
        <v>0.0</v>
      </c>
      <c r="I33" s="17">
        <v>0.0</v>
      </c>
      <c r="J33" s="54" t="s">
        <v>82</v>
      </c>
      <c r="K33" s="34"/>
      <c r="L33" s="36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11" t="s">
        <v>83</v>
      </c>
      <c r="B34" s="55" t="s">
        <v>84</v>
      </c>
      <c r="C34" s="56">
        <v>2.0</v>
      </c>
      <c r="D34" s="57"/>
      <c r="E34" s="57"/>
      <c r="F34" s="58"/>
      <c r="G34" s="57"/>
      <c r="H34" s="51">
        <v>1040.0</v>
      </c>
      <c r="I34" s="51">
        <v>40.0</v>
      </c>
      <c r="J34" s="15"/>
      <c r="L34" s="16"/>
    </row>
    <row r="35">
      <c r="A35" s="11" t="s">
        <v>85</v>
      </c>
      <c r="B35" s="28" t="s">
        <v>86</v>
      </c>
      <c r="C35" s="56">
        <v>2.0</v>
      </c>
      <c r="D35" s="19">
        <v>1000.0</v>
      </c>
      <c r="E35" s="19" t="s">
        <v>22</v>
      </c>
      <c r="F35" s="19" t="s">
        <v>23</v>
      </c>
      <c r="G35" s="20">
        <v>45366.0</v>
      </c>
      <c r="H35" s="59">
        <v>0.0</v>
      </c>
      <c r="I35" s="19">
        <v>0.0</v>
      </c>
      <c r="J35" s="15"/>
      <c r="L35" s="16"/>
    </row>
    <row r="36">
      <c r="A36" s="11" t="s">
        <v>87</v>
      </c>
      <c r="B36" s="60" t="s">
        <v>88</v>
      </c>
      <c r="C36" s="56">
        <v>6.0</v>
      </c>
      <c r="D36" s="61"/>
      <c r="E36" s="61"/>
      <c r="F36" s="61"/>
      <c r="G36" s="61"/>
      <c r="H36" s="61"/>
      <c r="I36" s="61"/>
      <c r="J36" s="15"/>
    </row>
    <row r="37">
      <c r="A37" s="11" t="s">
        <v>89</v>
      </c>
      <c r="B37" s="60" t="s">
        <v>90</v>
      </c>
      <c r="C37" s="56">
        <v>1.0</v>
      </c>
      <c r="D37" s="61"/>
      <c r="E37" s="61"/>
      <c r="F37" s="61"/>
      <c r="G37" s="61"/>
      <c r="H37" s="61"/>
      <c r="I37" s="61"/>
      <c r="J37" s="15"/>
    </row>
    <row r="38">
      <c r="A38" s="11" t="s">
        <v>91</v>
      </c>
      <c r="B38" s="62"/>
      <c r="C38" s="61"/>
      <c r="D38" s="61"/>
      <c r="E38" s="61"/>
      <c r="F38" s="61"/>
      <c r="G38" s="61"/>
      <c r="H38" s="61"/>
      <c r="I38" s="61"/>
      <c r="J38" s="15"/>
    </row>
    <row r="39">
      <c r="A39" s="11" t="s">
        <v>92</v>
      </c>
      <c r="B39" s="62"/>
      <c r="C39" s="61"/>
      <c r="D39" s="61"/>
      <c r="E39" s="61"/>
      <c r="F39" s="61"/>
      <c r="G39" s="61"/>
      <c r="H39" s="61"/>
      <c r="I39" s="61"/>
      <c r="J39" s="15"/>
    </row>
    <row r="40">
      <c r="A40" s="11" t="s">
        <v>93</v>
      </c>
      <c r="B40" s="62"/>
      <c r="C40" s="61"/>
      <c r="D40" s="61"/>
      <c r="E40" s="61"/>
      <c r="F40" s="61"/>
      <c r="G40" s="61"/>
      <c r="H40" s="61"/>
      <c r="I40" s="61"/>
      <c r="J40" s="15"/>
    </row>
    <row r="41">
      <c r="A41" s="11" t="s">
        <v>94</v>
      </c>
      <c r="B41" s="62"/>
      <c r="C41" s="61"/>
      <c r="D41" s="61"/>
      <c r="E41" s="61"/>
      <c r="F41" s="61"/>
      <c r="G41" s="61"/>
      <c r="H41" s="61"/>
      <c r="I41" s="61"/>
      <c r="J41" s="15"/>
    </row>
    <row r="42">
      <c r="A42" s="11" t="s">
        <v>95</v>
      </c>
      <c r="B42" s="62"/>
      <c r="C42" s="61"/>
      <c r="D42" s="61"/>
      <c r="E42" s="61"/>
      <c r="F42" s="61"/>
      <c r="G42" s="61"/>
      <c r="H42" s="61"/>
      <c r="I42" s="61"/>
      <c r="J42" s="15"/>
    </row>
    <row r="43">
      <c r="A43" s="11" t="s">
        <v>96</v>
      </c>
      <c r="B43" s="62"/>
      <c r="C43" s="61"/>
      <c r="D43" s="61"/>
      <c r="E43" s="61"/>
      <c r="F43" s="61"/>
      <c r="G43" s="61"/>
      <c r="H43" s="61"/>
      <c r="I43" s="61"/>
      <c r="J43" s="15"/>
    </row>
    <row r="44">
      <c r="A44" s="11" t="s">
        <v>97</v>
      </c>
      <c r="B44" s="62"/>
      <c r="C44" s="61"/>
      <c r="D44" s="61"/>
      <c r="E44" s="61"/>
      <c r="F44" s="61"/>
      <c r="G44" s="61"/>
      <c r="H44" s="61"/>
      <c r="I44" s="61"/>
      <c r="J44" s="15"/>
    </row>
    <row r="45">
      <c r="A45" s="11" t="s">
        <v>98</v>
      </c>
      <c r="B45" s="60" t="s">
        <v>99</v>
      </c>
      <c r="C45" s="61"/>
      <c r="D45" s="61"/>
      <c r="E45" s="61"/>
      <c r="F45" s="61"/>
      <c r="G45" s="61"/>
      <c r="H45" s="61"/>
      <c r="I45" s="61"/>
      <c r="J45" s="15"/>
    </row>
    <row r="46">
      <c r="A46" s="11" t="s">
        <v>100</v>
      </c>
      <c r="B46" s="62"/>
      <c r="C46" s="61"/>
      <c r="D46" s="61"/>
      <c r="E46" s="61"/>
      <c r="F46" s="61"/>
      <c r="G46" s="61"/>
      <c r="H46" s="61"/>
      <c r="I46" s="61"/>
      <c r="J46" s="15"/>
    </row>
    <row r="47">
      <c r="A47" s="11" t="s">
        <v>101</v>
      </c>
      <c r="B47" s="63"/>
      <c r="C47" s="64"/>
      <c r="D47" s="64"/>
      <c r="E47" s="64"/>
      <c r="F47" s="64"/>
      <c r="G47" s="64"/>
      <c r="H47" s="64"/>
      <c r="I47" s="64"/>
      <c r="J47" s="65"/>
    </row>
    <row r="48">
      <c r="A48" s="66"/>
      <c r="B48" s="67" t="s">
        <v>102</v>
      </c>
      <c r="C48" s="68">
        <f>SUM(C3:C47)</f>
        <v>73</v>
      </c>
      <c r="D48" s="66"/>
      <c r="E48" s="66"/>
      <c r="F48" s="66"/>
      <c r="G48" s="66"/>
      <c r="H48" s="69"/>
      <c r="I48" s="69"/>
      <c r="J48" s="70"/>
    </row>
    <row r="49">
      <c r="A49" s="71"/>
      <c r="B49" s="72" t="s">
        <v>103</v>
      </c>
      <c r="D49" s="73">
        <f>SUM(D3:D47)</f>
        <v>31540</v>
      </c>
      <c r="H49" s="74"/>
      <c r="I49" s="74"/>
      <c r="J49" s="75"/>
    </row>
    <row r="50">
      <c r="A50" s="71"/>
      <c r="H50" s="74"/>
      <c r="I50" s="74"/>
      <c r="J50" s="75"/>
    </row>
    <row r="51">
      <c r="A51" s="71"/>
      <c r="H51" s="74"/>
      <c r="I51" s="74"/>
      <c r="J51" s="75"/>
    </row>
    <row r="52">
      <c r="A52" s="71"/>
      <c r="H52" s="74"/>
      <c r="I52" s="74"/>
      <c r="J52" s="75"/>
    </row>
    <row r="53">
      <c r="A53" s="71"/>
      <c r="B53" s="76"/>
      <c r="C53" s="71"/>
      <c r="D53" s="71"/>
      <c r="E53" s="71"/>
      <c r="F53" s="71"/>
      <c r="G53" s="71"/>
      <c r="H53" s="74"/>
      <c r="I53" s="74"/>
      <c r="J53" s="75"/>
    </row>
    <row r="54">
      <c r="A54" s="71"/>
      <c r="B54" s="76"/>
      <c r="C54" s="71"/>
      <c r="D54" s="71"/>
      <c r="E54" s="71"/>
      <c r="F54" s="71"/>
      <c r="G54" s="71"/>
      <c r="H54" s="74"/>
      <c r="I54" s="74"/>
      <c r="J54" s="75"/>
    </row>
    <row r="55">
      <c r="A55" s="71"/>
      <c r="B55" s="76"/>
      <c r="C55" s="71"/>
      <c r="D55" s="71"/>
      <c r="E55" s="71"/>
      <c r="F55" s="71"/>
      <c r="G55" s="71"/>
      <c r="H55" s="74"/>
      <c r="I55" s="74"/>
      <c r="J55" s="75"/>
    </row>
    <row r="56">
      <c r="A56" s="71"/>
      <c r="B56" s="77" t="s">
        <v>104</v>
      </c>
      <c r="C56" s="77" t="s">
        <v>105</v>
      </c>
      <c r="D56" s="77" t="s">
        <v>106</v>
      </c>
      <c r="E56" s="77" t="s">
        <v>107</v>
      </c>
      <c r="F56" s="78"/>
      <c r="G56" s="78" t="s">
        <v>108</v>
      </c>
      <c r="H56" s="74"/>
      <c r="I56" s="74"/>
      <c r="J56" s="75"/>
    </row>
    <row r="57">
      <c r="A57" s="71"/>
      <c r="B57" s="79" t="s">
        <v>109</v>
      </c>
      <c r="C57" s="80">
        <v>25000.0</v>
      </c>
      <c r="D57" s="80">
        <v>18500.0</v>
      </c>
      <c r="E57" s="81">
        <f>SUM(D3:D5,D7:D12,D15:D17,D20:D21,D25:D28,D31:D33)</f>
        <v>20540</v>
      </c>
      <c r="F57" s="82"/>
      <c r="G57" s="82">
        <f t="shared" ref="G57:G58" si="1">SUM(C57:E57)</f>
        <v>64040</v>
      </c>
      <c r="H57" s="74"/>
      <c r="I57" s="74"/>
      <c r="J57" s="75"/>
    </row>
    <row r="58">
      <c r="A58" s="71"/>
      <c r="B58" s="79" t="s">
        <v>23</v>
      </c>
      <c r="C58" s="80">
        <v>10000.0</v>
      </c>
      <c r="D58" s="80">
        <v>12500.0</v>
      </c>
      <c r="E58" s="80">
        <f>SUM(D6,D13:D14,D18:D19,D22:D24,D30,D35)</f>
        <v>11000</v>
      </c>
      <c r="F58" s="82"/>
      <c r="G58" s="82">
        <f t="shared" si="1"/>
        <v>33500</v>
      </c>
      <c r="H58" s="74"/>
      <c r="I58" s="74"/>
      <c r="J58" s="75"/>
    </row>
    <row r="59">
      <c r="A59" s="83"/>
      <c r="B59" s="84" t="s">
        <v>110</v>
      </c>
      <c r="C59" s="85">
        <f>SUM(C57,C58)</f>
        <v>35000</v>
      </c>
      <c r="D59" s="86">
        <f t="shared" ref="D59:E59" si="2">SUM(D57:D58)</f>
        <v>31000</v>
      </c>
      <c r="E59" s="86">
        <f t="shared" si="2"/>
        <v>31540</v>
      </c>
      <c r="F59" s="87"/>
      <c r="G59" s="87">
        <f>SUM(G57:G58)</f>
        <v>97540</v>
      </c>
      <c r="H59" s="88"/>
      <c r="I59" s="88"/>
      <c r="J59" s="89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>
      <c r="A60" s="91"/>
      <c r="B60" s="92" t="s">
        <v>111</v>
      </c>
      <c r="C60" s="93">
        <f>SUM(C59:E59)</f>
        <v>97540</v>
      </c>
      <c r="F60" s="91"/>
      <c r="G60" s="91"/>
      <c r="H60" s="94"/>
      <c r="I60" s="94"/>
    </row>
    <row r="61">
      <c r="A61" s="94"/>
      <c r="B61" s="95"/>
      <c r="C61" s="94"/>
      <c r="D61" s="96"/>
      <c r="E61" s="94"/>
      <c r="F61" s="94"/>
      <c r="G61" s="94"/>
      <c r="H61" s="94"/>
      <c r="I61" s="94"/>
    </row>
    <row r="62">
      <c r="A62" s="94"/>
      <c r="B62" s="95"/>
      <c r="C62" s="94"/>
      <c r="D62" s="96"/>
      <c r="E62" s="96"/>
      <c r="F62" s="94"/>
      <c r="G62" s="94"/>
      <c r="H62" s="94"/>
      <c r="I62" s="94"/>
    </row>
    <row r="63">
      <c r="A63" s="94"/>
      <c r="B63" s="95"/>
      <c r="C63" s="94"/>
      <c r="D63" s="94"/>
      <c r="E63" s="94"/>
      <c r="F63" s="94"/>
      <c r="G63" s="94"/>
      <c r="H63" s="94"/>
      <c r="I63" s="94"/>
    </row>
    <row r="64">
      <c r="A64" s="94"/>
      <c r="B64" s="95"/>
      <c r="C64" s="94"/>
      <c r="D64" s="94"/>
      <c r="E64" s="94"/>
      <c r="F64" s="94"/>
      <c r="G64" s="94"/>
      <c r="H64" s="94"/>
      <c r="I64" s="94"/>
    </row>
    <row r="65">
      <c r="A65" s="94"/>
      <c r="B65" s="95"/>
      <c r="C65" s="94"/>
      <c r="D65" s="94"/>
      <c r="E65" s="94"/>
      <c r="F65" s="94"/>
      <c r="G65" s="94"/>
      <c r="H65" s="94"/>
      <c r="I65" s="94"/>
    </row>
    <row r="66">
      <c r="A66" s="94"/>
      <c r="B66" s="95"/>
      <c r="C66" s="94"/>
      <c r="D66" s="94"/>
      <c r="E66" s="94"/>
      <c r="F66" s="94"/>
      <c r="G66" s="94"/>
      <c r="H66" s="94"/>
      <c r="I66" s="94"/>
    </row>
    <row r="67">
      <c r="A67" s="94"/>
      <c r="B67" s="95"/>
      <c r="C67" s="94"/>
      <c r="D67" s="94"/>
      <c r="E67" s="94"/>
      <c r="F67" s="94"/>
      <c r="G67" s="94"/>
      <c r="H67" s="94"/>
      <c r="I67" s="94"/>
    </row>
    <row r="68">
      <c r="A68" s="94"/>
      <c r="B68" s="95"/>
      <c r="C68" s="94"/>
      <c r="D68" s="94"/>
      <c r="E68" s="94"/>
      <c r="F68" s="94"/>
      <c r="G68" s="94"/>
      <c r="H68" s="94"/>
      <c r="I68" s="94"/>
    </row>
    <row r="69">
      <c r="A69" s="94"/>
      <c r="B69" s="95"/>
      <c r="C69" s="94"/>
      <c r="D69" s="94"/>
      <c r="E69" s="94"/>
      <c r="F69" s="94"/>
      <c r="G69" s="94"/>
      <c r="H69" s="94"/>
      <c r="I69" s="94"/>
    </row>
    <row r="70">
      <c r="A70" s="94"/>
      <c r="B70" s="95"/>
      <c r="C70" s="94"/>
      <c r="D70" s="94"/>
      <c r="E70" s="94"/>
      <c r="F70" s="94"/>
      <c r="G70" s="94"/>
      <c r="H70" s="94"/>
      <c r="I70" s="94"/>
    </row>
    <row r="71">
      <c r="A71" s="94"/>
      <c r="B71" s="95"/>
      <c r="C71" s="94"/>
      <c r="D71" s="94"/>
      <c r="E71" s="94"/>
      <c r="F71" s="94"/>
      <c r="G71" s="94"/>
      <c r="H71" s="94"/>
      <c r="I71" s="94"/>
    </row>
    <row r="72">
      <c r="A72" s="94"/>
      <c r="B72" s="95"/>
      <c r="C72" s="94"/>
      <c r="D72" s="94"/>
      <c r="E72" s="94"/>
      <c r="F72" s="94"/>
      <c r="G72" s="94"/>
      <c r="H72" s="94"/>
      <c r="I72" s="94"/>
    </row>
    <row r="73">
      <c r="A73" s="94"/>
      <c r="B73" s="95"/>
      <c r="C73" s="94"/>
      <c r="D73" s="94"/>
      <c r="E73" s="94"/>
      <c r="F73" s="94"/>
      <c r="G73" s="94"/>
      <c r="H73" s="94"/>
      <c r="I73" s="94"/>
    </row>
    <row r="74">
      <c r="A74" s="94"/>
      <c r="B74" s="95"/>
      <c r="C74" s="94"/>
      <c r="D74" s="94"/>
      <c r="E74" s="94"/>
      <c r="F74" s="94"/>
      <c r="G74" s="94"/>
      <c r="H74" s="94"/>
      <c r="I74" s="94"/>
    </row>
    <row r="75">
      <c r="A75" s="94"/>
      <c r="B75" s="95"/>
      <c r="C75" s="94"/>
      <c r="D75" s="94"/>
      <c r="E75" s="94"/>
      <c r="F75" s="94"/>
      <c r="G75" s="94"/>
      <c r="H75" s="94"/>
      <c r="I75" s="94"/>
    </row>
    <row r="76">
      <c r="A76" s="94"/>
      <c r="B76" s="95"/>
      <c r="C76" s="94"/>
      <c r="D76" s="94"/>
      <c r="E76" s="94"/>
      <c r="F76" s="94"/>
      <c r="G76" s="94"/>
      <c r="H76" s="94"/>
      <c r="I76" s="94"/>
    </row>
    <row r="77">
      <c r="A77" s="94"/>
      <c r="B77" s="95"/>
      <c r="C77" s="94"/>
      <c r="D77" s="94"/>
      <c r="E77" s="94"/>
      <c r="F77" s="94"/>
      <c r="G77" s="94"/>
      <c r="H77" s="94"/>
      <c r="I77" s="94"/>
    </row>
    <row r="78">
      <c r="A78" s="94"/>
      <c r="B78" s="95"/>
      <c r="C78" s="94"/>
      <c r="D78" s="94"/>
      <c r="E78" s="94"/>
      <c r="F78" s="94"/>
      <c r="G78" s="94"/>
      <c r="H78" s="94"/>
      <c r="I78" s="94"/>
    </row>
    <row r="79">
      <c r="A79" s="94"/>
      <c r="B79" s="95"/>
      <c r="C79" s="94"/>
      <c r="D79" s="94"/>
      <c r="E79" s="94"/>
      <c r="F79" s="94"/>
      <c r="G79" s="94"/>
      <c r="H79" s="94"/>
      <c r="I79" s="94"/>
    </row>
    <row r="80">
      <c r="A80" s="94"/>
      <c r="B80" s="95"/>
      <c r="C80" s="94"/>
      <c r="D80" s="94"/>
      <c r="E80" s="94"/>
      <c r="F80" s="94"/>
      <c r="G80" s="94"/>
      <c r="H80" s="94"/>
      <c r="I80" s="94"/>
    </row>
    <row r="81">
      <c r="A81" s="94"/>
      <c r="B81" s="95"/>
      <c r="C81" s="94"/>
      <c r="D81" s="94"/>
      <c r="E81" s="94"/>
      <c r="F81" s="94"/>
      <c r="G81" s="94"/>
      <c r="H81" s="94"/>
      <c r="I81" s="94"/>
    </row>
    <row r="82">
      <c r="A82" s="94"/>
      <c r="B82" s="95"/>
      <c r="C82" s="94"/>
      <c r="D82" s="94"/>
      <c r="E82" s="94"/>
      <c r="F82" s="94"/>
      <c r="G82" s="94"/>
      <c r="H82" s="94"/>
      <c r="I82" s="94"/>
    </row>
    <row r="83">
      <c r="A83" s="94"/>
      <c r="B83" s="95"/>
      <c r="C83" s="94"/>
      <c r="D83" s="94"/>
      <c r="E83" s="94"/>
      <c r="F83" s="94"/>
      <c r="G83" s="94"/>
      <c r="H83" s="94"/>
      <c r="I83" s="94"/>
    </row>
    <row r="84">
      <c r="A84" s="94"/>
      <c r="B84" s="95"/>
      <c r="C84" s="94"/>
      <c r="D84" s="94"/>
      <c r="E84" s="94"/>
      <c r="F84" s="94"/>
      <c r="G84" s="94"/>
      <c r="H84" s="94"/>
      <c r="I84" s="94"/>
    </row>
    <row r="85">
      <c r="A85" s="94"/>
      <c r="B85" s="95"/>
      <c r="C85" s="94"/>
      <c r="D85" s="94"/>
      <c r="E85" s="94"/>
      <c r="F85" s="94"/>
      <c r="G85" s="94"/>
      <c r="H85" s="94"/>
      <c r="I85" s="94"/>
    </row>
    <row r="86">
      <c r="A86" s="94"/>
      <c r="B86" s="95"/>
      <c r="C86" s="94"/>
      <c r="D86" s="94"/>
      <c r="E86" s="94"/>
      <c r="F86" s="94"/>
      <c r="G86" s="94"/>
      <c r="H86" s="94"/>
      <c r="I86" s="94"/>
    </row>
    <row r="87">
      <c r="A87" s="94"/>
      <c r="B87" s="95"/>
      <c r="C87" s="94"/>
      <c r="D87" s="94"/>
      <c r="E87" s="94"/>
      <c r="F87" s="94"/>
      <c r="G87" s="94"/>
      <c r="H87" s="94"/>
      <c r="I87" s="94"/>
    </row>
    <row r="88">
      <c r="A88" s="94"/>
      <c r="B88" s="95"/>
      <c r="C88" s="94"/>
      <c r="D88" s="94"/>
      <c r="E88" s="94"/>
      <c r="F88" s="94"/>
      <c r="G88" s="94"/>
      <c r="H88" s="94"/>
      <c r="I88" s="94"/>
    </row>
    <row r="89">
      <c r="A89" s="94"/>
      <c r="B89" s="95"/>
      <c r="C89" s="94"/>
      <c r="D89" s="94"/>
      <c r="E89" s="94"/>
      <c r="F89" s="94"/>
      <c r="G89" s="94"/>
      <c r="H89" s="94"/>
      <c r="I89" s="94"/>
    </row>
    <row r="90">
      <c r="A90" s="94"/>
      <c r="B90" s="95"/>
      <c r="C90" s="94"/>
      <c r="D90" s="94"/>
      <c r="E90" s="94"/>
      <c r="F90" s="94"/>
      <c r="G90" s="94"/>
      <c r="H90" s="94"/>
      <c r="I90" s="94"/>
    </row>
    <row r="91">
      <c r="A91" s="94"/>
      <c r="B91" s="95"/>
      <c r="C91" s="94"/>
      <c r="D91" s="94"/>
      <c r="E91" s="94"/>
      <c r="F91" s="94"/>
      <c r="G91" s="94"/>
      <c r="H91" s="94"/>
      <c r="I91" s="94"/>
    </row>
    <row r="92">
      <c r="A92" s="94"/>
      <c r="B92" s="95"/>
      <c r="C92" s="94"/>
      <c r="D92" s="94"/>
      <c r="E92" s="94"/>
      <c r="F92" s="94"/>
      <c r="G92" s="94"/>
      <c r="H92" s="94"/>
      <c r="I92" s="94"/>
    </row>
  </sheetData>
  <mergeCells count="4">
    <mergeCell ref="A1:J1"/>
    <mergeCell ref="B49:C52"/>
    <mergeCell ref="D49:G52"/>
    <mergeCell ref="C60:E60"/>
  </mergeCells>
  <conditionalFormatting sqref="A1:J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