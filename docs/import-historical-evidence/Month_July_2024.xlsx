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ly, 2024" sheetId="1" r:id="rId5"/>
  </sheets>
  <definedNames/>
  <calcPr/>
</workbook>
</file>

<file path=xl/sharedStrings.xml><?xml version="1.0" encoding="utf-8"?>
<sst xmlns="http://schemas.openxmlformats.org/spreadsheetml/2006/main" count="175" uniqueCount="130">
  <si>
    <t>Month - July 2024</t>
  </si>
  <si>
    <t>Member ID</t>
  </si>
  <si>
    <t>Name</t>
  </si>
  <si>
    <t>No. of Share</t>
  </si>
  <si>
    <t>Amount</t>
  </si>
  <si>
    <t>Gateway</t>
  </si>
  <si>
    <t>Receiver</t>
  </si>
  <si>
    <t>Date of Payment</t>
  </si>
  <si>
    <t>Due</t>
  </si>
  <si>
    <t>Penalty</t>
  </si>
  <si>
    <t>Comment</t>
  </si>
  <si>
    <t>NSF001</t>
  </si>
  <si>
    <t>Salah Uddin Shuvo -Director</t>
  </si>
  <si>
    <t>Bank</t>
  </si>
  <si>
    <t>Moin</t>
  </si>
  <si>
    <t>NSF002</t>
  </si>
  <si>
    <t>Safiqul Islam -President</t>
  </si>
  <si>
    <t>Bkash</t>
  </si>
  <si>
    <t>NSF003</t>
  </si>
  <si>
    <t>Moin Uddin -Accountant</t>
  </si>
  <si>
    <t>NSF004</t>
  </si>
  <si>
    <t>Nurul Amin Samrat -Asst. Acc</t>
  </si>
  <si>
    <t>Nagad</t>
  </si>
  <si>
    <t>Samrat</t>
  </si>
  <si>
    <t>NSF005</t>
  </si>
  <si>
    <t>Nayem Islam -GS</t>
  </si>
  <si>
    <t>NSF006</t>
  </si>
  <si>
    <t>Abdul Hannan Khan -Convener</t>
  </si>
  <si>
    <t>NSF007</t>
  </si>
  <si>
    <t>Bayzid Hasan</t>
  </si>
  <si>
    <t>NSF008</t>
  </si>
  <si>
    <t>Munzur Rahman Munib</t>
  </si>
  <si>
    <t>June &amp; July Share amount with penalty 40 are paid.</t>
  </si>
  <si>
    <t>NSF009</t>
  </si>
  <si>
    <t>Mizanur Rahman</t>
  </si>
  <si>
    <t>NSF010</t>
  </si>
  <si>
    <t>H. M Mahmudul Hasan</t>
  </si>
  <si>
    <t>NSF011</t>
  </si>
  <si>
    <t>Shoaib Ali</t>
  </si>
  <si>
    <t>NSF012</t>
  </si>
  <si>
    <t>Rakib Talukder</t>
  </si>
  <si>
    <t>nagad</t>
  </si>
  <si>
    <t>samrat</t>
  </si>
  <si>
    <t>30 tk june penalty due. 10 tk paid only</t>
  </si>
  <si>
    <t>NSF013</t>
  </si>
  <si>
    <t>H. M Ali Hossain</t>
  </si>
  <si>
    <t>June+July+penalty paid</t>
  </si>
  <si>
    <t>NSF014</t>
  </si>
  <si>
    <t>MD. Mustafizur Rahman Kollol</t>
  </si>
  <si>
    <t>July payment unpaid</t>
  </si>
  <si>
    <t>NSF015</t>
  </si>
  <si>
    <t>Kawsar Ullah</t>
  </si>
  <si>
    <t>NSF016</t>
  </si>
  <si>
    <t>Arifur Rahman -Patuakhali</t>
  </si>
  <si>
    <t>NSF017</t>
  </si>
  <si>
    <t>Mamun Mridha</t>
  </si>
  <si>
    <t>NSF018</t>
  </si>
  <si>
    <t>Masum Billah</t>
  </si>
  <si>
    <t>April penalty unpaid</t>
  </si>
  <si>
    <t>NSF019</t>
  </si>
  <si>
    <t>Mamun Al Mahin- Ptk</t>
  </si>
  <si>
    <t>NSF020</t>
  </si>
  <si>
    <t>Nasim Billah Rafi</t>
  </si>
  <si>
    <t>Due June &amp; July. May cash out charge</t>
  </si>
  <si>
    <t>NSF021</t>
  </si>
  <si>
    <t>MD. Tawhid Islam</t>
  </si>
  <si>
    <t>NSF022</t>
  </si>
  <si>
    <t>Mahmudur Rahman Hasib</t>
  </si>
  <si>
    <t>May, June &amp; July unpaid</t>
  </si>
  <si>
    <t>NSF023</t>
  </si>
  <si>
    <t>MD. Abdullah Al Jobair</t>
  </si>
  <si>
    <t>May cash out charge tk 10+ june +july payment + penalty</t>
  </si>
  <si>
    <t>NSF024</t>
  </si>
  <si>
    <t>Arif - Gowranodi</t>
  </si>
  <si>
    <t>NSF025</t>
  </si>
  <si>
    <t>Sible Iqbal</t>
  </si>
  <si>
    <t>Due July payment</t>
  </si>
  <si>
    <t>NSF026</t>
  </si>
  <si>
    <t>Shikder Tanim</t>
  </si>
  <si>
    <t>NSF027</t>
  </si>
  <si>
    <t>Mamun Al Mahin (Khulna)</t>
  </si>
  <si>
    <t>Due June + July payment</t>
  </si>
  <si>
    <t>NSF028</t>
  </si>
  <si>
    <t>Al Amin Sohel Khandaker</t>
  </si>
  <si>
    <t>Cash out charge 10 tk due</t>
  </si>
  <si>
    <t>NSF029</t>
  </si>
  <si>
    <t>Hasan Al Emran</t>
  </si>
  <si>
    <t>NSF030</t>
  </si>
  <si>
    <t>H. M Wali Ullah</t>
  </si>
  <si>
    <t>NSF031</t>
  </si>
  <si>
    <t>Yasin Arafat</t>
  </si>
  <si>
    <t>Paid</t>
  </si>
  <si>
    <t>Advanced Payment in May</t>
  </si>
  <si>
    <t>NSF032</t>
  </si>
  <si>
    <t>Ahsan Ul Tanvir</t>
  </si>
  <si>
    <t>Due Mar-July Share amounts</t>
  </si>
  <si>
    <t>NSF033</t>
  </si>
  <si>
    <t>H. M Sakawat Ullah</t>
  </si>
  <si>
    <t>Due April-July Share amounts</t>
  </si>
  <si>
    <t>NSF034</t>
  </si>
  <si>
    <t>Abu Bakar Rohan</t>
  </si>
  <si>
    <t>Due Jan-May Share amounts</t>
  </si>
  <si>
    <t>NSF035</t>
  </si>
  <si>
    <t>Mamunur Rashid</t>
  </si>
  <si>
    <t>NSF036</t>
  </si>
  <si>
    <t>NSF037</t>
  </si>
  <si>
    <t>NSF038</t>
  </si>
  <si>
    <t>NSF039</t>
  </si>
  <si>
    <t>NSF040</t>
  </si>
  <si>
    <t>NSF041</t>
  </si>
  <si>
    <t>NSF042</t>
  </si>
  <si>
    <t>NSF043</t>
  </si>
  <si>
    <t xml:space="preserve">               </t>
  </si>
  <si>
    <t>NSF044</t>
  </si>
  <si>
    <t>NSF045</t>
  </si>
  <si>
    <t>NSF046</t>
  </si>
  <si>
    <t>Total Share</t>
  </si>
  <si>
    <t>Total Amount</t>
  </si>
  <si>
    <t>Finance Holder</t>
  </si>
  <si>
    <t>January</t>
  </si>
  <si>
    <t>Feb</t>
  </si>
  <si>
    <t>March</t>
  </si>
  <si>
    <t>April</t>
  </si>
  <si>
    <t>May</t>
  </si>
  <si>
    <t>June</t>
  </si>
  <si>
    <t>July</t>
  </si>
  <si>
    <t>Total</t>
  </si>
  <si>
    <t>Moin Uddin</t>
  </si>
  <si>
    <t>Total Each Month Amount</t>
  </si>
  <si>
    <t>Total Month Amount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</si>
</sst>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34">
    <font>
      <sz val="10.0"/>
      <color rgb="FF000000"/>
      <name val="Arial"/>
      <scheme val="minor"/>
    </font>
    <font>
      <b/>
      <sz val="20.0"/>
      <color rgb="FF000000"/>
      <name val="Comic Sans MS"/>
    </font>
    <font/>
    <font>
      <color theme="1"/>
      <name val="Arial"/>
      <scheme val="minor"/>
    </font>
    <font>
      <b/>
      <sz val="11.0"/>
      <color rgb="FFFFFFFF"/>
      <name val="Comic Sans MS"/>
    </font>
    <font>
      <b/>
      <sz val="12.0"/>
      <color rgb="FFFFFFFF"/>
      <name val="Comic Sans MS"/>
    </font>
    <font>
      <b/>
      <sz val="12.0"/>
      <color rgb="FFFFFFFF"/>
      <name val="Comfortaa"/>
    </font>
    <font>
      <b/>
      <sz val="12.0"/>
      <color theme="1"/>
      <name val="Comfortaa"/>
    </font>
    <font>
      <b/>
      <sz val="12.0"/>
      <color rgb="FF2A8947"/>
      <name val="Comfortaa"/>
    </font>
    <font>
      <color theme="1"/>
      <name val="Comfortaa"/>
    </font>
    <font>
      <sz val="10.0"/>
      <color theme="1"/>
      <name val="Comfortaa"/>
    </font>
    <font>
      <b/>
      <sz val="12.0"/>
      <color rgb="FF9900FF"/>
      <name val="Comfortaa"/>
    </font>
    <font>
      <b/>
      <sz val="12.0"/>
      <color rgb="FF000000"/>
      <name val="Comfortaa"/>
    </font>
    <font>
      <b/>
      <sz val="10.0"/>
      <color rgb="FF2A8947"/>
      <name val="Comfortaa"/>
    </font>
    <font>
      <b/>
      <sz val="12.0"/>
      <color rgb="FFFF0000"/>
      <name val="Comfortaa"/>
    </font>
    <font>
      <b/>
      <sz val="10.0"/>
      <color rgb="FFFF0000"/>
      <name val="Comfortaa"/>
    </font>
    <font>
      <color rgb="FF9900FF"/>
      <name val="Comfortaa"/>
    </font>
    <font>
      <b/>
      <sz val="10.0"/>
      <color theme="1"/>
      <name val="Comfortaa"/>
    </font>
    <font>
      <b/>
      <sz val="11.0"/>
      <color theme="1"/>
      <name val="Comfortaa"/>
    </font>
    <font>
      <b/>
      <color theme="1"/>
      <name val="Comfortaa"/>
    </font>
    <font>
      <b/>
      <sz val="20.0"/>
      <color rgb="FFFFFFFF"/>
      <name val="Comfortaa"/>
    </font>
    <font>
      <b/>
      <sz val="21.0"/>
      <color theme="1"/>
      <name val="Arial"/>
      <scheme val="minor"/>
    </font>
    <font>
      <b/>
      <sz val="17.0"/>
      <color theme="1"/>
      <name val="Arial"/>
      <scheme val="minor"/>
    </font>
    <font>
      <b/>
      <sz val="15.0"/>
      <color rgb="FFFFFFFF"/>
      <name val="Comfortaa"/>
    </font>
    <font>
      <b/>
      <sz val="18.0"/>
      <color theme="1"/>
      <name val="Comfortaa"/>
    </font>
    <font>
      <b/>
      <sz val="15.0"/>
      <color theme="1"/>
      <name val="Comfortaa"/>
    </font>
    <font>
      <b/>
      <sz val="15.0"/>
      <color rgb="FF000000"/>
      <name val="Comfortaa"/>
    </font>
    <font>
      <b/>
      <sz val="22.0"/>
      <color theme="1"/>
      <name val="Comfortaa"/>
    </font>
    <font>
      <b/>
      <sz val="19.0"/>
      <color rgb="FFFF0000"/>
      <name val="Comfortaa"/>
    </font>
    <font>
      <b/>
      <sz val="25.0"/>
      <color theme="1"/>
      <name val="Comfortaa"/>
    </font>
    <font>
      <b/>
      <sz val="25.0"/>
      <color rgb="FF000000"/>
      <name val="Comfortaa"/>
    </font>
    <font>
      <b/>
      <sz val="30.0"/>
      <color rgb="FFFFFFFF"/>
      <name val="Comfortaa"/>
    </font>
    <font>
      <b/>
      <sz val="19.0"/>
      <color rgb="FFFFFFFF"/>
      <name val="Arial"/>
      <scheme val="minor"/>
    </font>
    <font>
      <b/>
      <sz val="30.0"/>
      <color rgb="FFFFFFFF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351C75"/>
        <bgColor rgb="FF351C75"/>
      </patternFill>
    </fill>
    <fill>
      <patternFill patternType="solid">
        <fgColor rgb="FF20124D"/>
        <bgColor rgb="FF20124D"/>
      </patternFill>
    </fill>
    <fill>
      <patternFill patternType="solid">
        <fgColor rgb="FF38761D"/>
        <bgColor rgb="FF38761D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4125"/>
        <bgColor rgb="FFCC4125"/>
      </patternFill>
    </fill>
    <fill>
      <patternFill patternType="solid">
        <fgColor rgb="FF660000"/>
        <bgColor rgb="FF660000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CC0000"/>
        <bgColor rgb="FFCC0000"/>
      </patternFill>
    </fill>
    <fill>
      <patternFill patternType="solid">
        <fgColor rgb="FF000000"/>
        <bgColor rgb="FF000000"/>
      </patternFill>
    </fill>
    <fill>
      <patternFill patternType="solid">
        <fgColor theme="4"/>
        <bgColor theme="4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readingOrder="0"/>
    </xf>
    <xf borderId="4" fillId="4" fontId="5" numFmtId="0" xfId="0" applyAlignment="1" applyBorder="1" applyFill="1" applyFont="1">
      <alignment horizontal="center" readingOrder="0"/>
    </xf>
    <xf borderId="4" fillId="3" fontId="4" numFmtId="0" xfId="0" applyAlignment="1" applyBorder="1" applyFill="1" applyFont="1">
      <alignment horizontal="center" readingOrder="0" shrinkToFit="0" wrapText="1"/>
    </xf>
    <xf borderId="4" fillId="5" fontId="6" numFmtId="0" xfId="0" applyAlignment="1" applyBorder="1" applyFill="1" applyFont="1">
      <alignment horizontal="center" readingOrder="0" vertical="center"/>
    </xf>
    <xf borderId="4" fillId="5" fontId="6" numFmtId="0" xfId="0" applyAlignment="1" applyBorder="1" applyFill="1" applyFont="1">
      <alignment horizontal="left" readingOrder="0" vertical="center"/>
    </xf>
    <xf borderId="4" fillId="0" fontId="7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4" fillId="0" fontId="8" numFmtId="164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4" fillId="6" fontId="9" numFmtId="0" xfId="0" applyAlignment="1" applyBorder="1" applyFill="1" applyFont="1">
      <alignment horizontal="left" shrinkToFit="0" vertical="center" wrapText="1"/>
    </xf>
    <xf borderId="3" fillId="0" fontId="8" numFmtId="164" xfId="0" applyAlignment="1" applyBorder="1" applyFont="1" applyNumberFormat="1">
      <alignment horizontal="center" readingOrder="0" vertical="center"/>
    </xf>
    <xf borderId="4" fillId="6" fontId="10" numFmtId="0" xfId="0" applyAlignment="1" applyBorder="1" applyFill="1" applyFont="1">
      <alignment horizontal="left" shrinkToFit="0" vertical="center" wrapText="1"/>
    </xf>
    <xf borderId="4" fillId="0" fontId="11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readingOrder="0" vertical="center"/>
    </xf>
    <xf borderId="3" fillId="0" fontId="11" numFmtId="164" xfId="0" applyAlignment="1" applyBorder="1" applyFont="1" applyNumberFormat="1">
      <alignment horizontal="center" readingOrder="0" vertical="center"/>
    </xf>
    <xf borderId="4" fillId="0" fontId="8" numFmtId="0" xfId="0" applyAlignment="1" applyBorder="1" applyFont="1">
      <alignment horizontal="center" vertical="center"/>
    </xf>
    <xf borderId="4" fillId="0" fontId="12" numFmtId="0" xfId="0" applyAlignment="1" applyBorder="1" applyFont="1">
      <alignment horizontal="center" readingOrder="0" vertical="center"/>
    </xf>
    <xf borderId="4" fillId="6" fontId="7" numFmtId="0" xfId="0" applyAlignment="1" applyBorder="1" applyFill="1" applyFont="1">
      <alignment horizontal="left" readingOrder="0" vertical="center"/>
    </xf>
    <xf borderId="4" fillId="7" fontId="7" numFmtId="0" xfId="0" applyAlignment="1" applyBorder="1" applyFill="1" applyFont="1">
      <alignment horizontal="center" readingOrder="0" vertical="center"/>
    </xf>
    <xf borderId="4" fillId="7" fontId="9" numFmtId="0" xfId="0" applyAlignment="1" applyBorder="1" applyFill="1" applyFont="1">
      <alignment vertical="center"/>
    </xf>
    <xf borderId="4" fillId="7" fontId="10" numFmtId="0" xfId="0" applyAlignment="1" applyBorder="1" applyFill="1" applyFont="1">
      <alignment horizontal="left" shrinkToFit="0" vertical="center" wrapText="1"/>
    </xf>
    <xf borderId="3" fillId="0" fontId="8" numFmtId="0" xfId="0" applyAlignment="1" applyBorder="1" applyFont="1">
      <alignment horizontal="center" readingOrder="0" vertical="center"/>
    </xf>
    <xf borderId="3" fillId="0" fontId="13" numFmtId="0" xfId="0" applyAlignment="1" applyBorder="1" applyFont="1">
      <alignment horizontal="left" readingOrder="0" shrinkToFit="0" vertical="center" wrapText="1"/>
    </xf>
    <xf borderId="4" fillId="6" fontId="11" numFmtId="0" xfId="0" applyAlignment="1" applyBorder="1" applyFill="1" applyFont="1">
      <alignment horizontal="center" readingOrder="0" vertical="center"/>
    </xf>
    <xf borderId="4" fillId="6" fontId="11" numFmtId="164" xfId="0" applyAlignment="1" applyBorder="1" applyFill="1" applyFont="1" applyNumberFormat="1">
      <alignment horizontal="center" readingOrder="0" vertical="center"/>
    </xf>
    <xf borderId="4" fillId="6" fontId="14" numFmtId="0" xfId="0" applyAlignment="1" applyBorder="1" applyFill="1" applyFont="1">
      <alignment horizontal="center" readingOrder="0" vertical="center"/>
    </xf>
    <xf borderId="4" fillId="6" fontId="15" numFmtId="0" xfId="0" applyAlignment="1" applyBorder="1" applyFill="1" applyFont="1">
      <alignment horizontal="left" readingOrder="0" shrinkToFit="0" vertical="center" wrapText="1"/>
    </xf>
    <xf borderId="4" fillId="6" fontId="12" numFmtId="0" xfId="0" applyAlignment="1" applyBorder="1" applyFill="1" applyFont="1">
      <alignment horizontal="left" readingOrder="0" vertical="center"/>
    </xf>
    <xf borderId="4" fillId="6" fontId="7" numFmtId="0" xfId="0" applyAlignment="1" applyBorder="1" applyFill="1" applyFont="1">
      <alignment horizontal="center" readingOrder="0" vertical="center"/>
    </xf>
    <xf borderId="4" fillId="6" fontId="13" numFmtId="0" xfId="0" applyAlignment="1" applyBorder="1" applyFill="1" applyFont="1">
      <alignment horizontal="left" readingOrder="0" shrinkToFit="0" vertical="center" wrapText="1"/>
    </xf>
    <xf borderId="4" fillId="6" fontId="9" numFmtId="0" xfId="0" applyAlignment="1" applyBorder="1" applyFill="1" applyFont="1">
      <alignment horizontal="center" vertical="center"/>
    </xf>
    <xf borderId="4" fillId="2" fontId="14" numFmtId="0" xfId="0" applyAlignment="1" applyBorder="1" applyFill="1" applyFont="1">
      <alignment horizontal="center" readingOrder="0" vertical="center"/>
    </xf>
    <xf borderId="4" fillId="2" fontId="15" numFmtId="0" xfId="0" applyAlignment="1" applyBorder="1" applyFill="1" applyFont="1">
      <alignment horizontal="left" readingOrder="0" shrinkToFit="0" vertical="center" wrapText="1"/>
    </xf>
    <xf borderId="4" fillId="6" fontId="16" numFmtId="164" xfId="0" applyAlignment="1" applyBorder="1" applyFill="1" applyFont="1" applyNumberFormat="1">
      <alignment horizontal="center" readingOrder="0" vertical="center"/>
    </xf>
    <xf borderId="4" fillId="6" fontId="9" numFmtId="0" xfId="0" applyAlignment="1" applyBorder="1" applyFill="1" applyFont="1">
      <alignment vertical="center"/>
    </xf>
    <xf borderId="4" fillId="2" fontId="14" numFmtId="0" xfId="0" applyAlignment="1" applyBorder="1" applyFill="1" applyFont="1">
      <alignment horizontal="center" readingOrder="0"/>
    </xf>
    <xf borderId="4" fillId="2" fontId="15" numFmtId="0" xfId="0" applyAlignment="1" applyBorder="1" applyFill="1" applyFont="1">
      <alignment readingOrder="0" shrinkToFit="0" wrapText="1"/>
    </xf>
    <xf borderId="4" fillId="2" fontId="15" numFmtId="0" xfId="0" applyAlignment="1" applyBorder="1" applyFill="1" applyFont="1">
      <alignment readingOrder="0" shrinkToFit="0" vertical="center" wrapText="1"/>
    </xf>
    <xf borderId="4" fillId="0" fontId="12" numFmtId="0" xfId="0" applyAlignment="1" applyBorder="1" applyFont="1">
      <alignment horizontal="left" readingOrder="0" vertical="center"/>
    </xf>
    <xf borderId="4" fillId="6" fontId="17" numFmtId="0" xfId="0" applyAlignment="1" applyBorder="1" applyFill="1" applyFont="1">
      <alignment horizontal="left" shrinkToFit="0" vertical="center" wrapText="1"/>
    </xf>
    <xf borderId="4" fillId="6" fontId="12" numFmtId="0" xfId="0" applyAlignment="1" applyBorder="1" applyFill="1" applyFont="1">
      <alignment horizontal="center" readingOrder="0" vertical="center"/>
    </xf>
    <xf borderId="4" fillId="6" fontId="8" numFmtId="0" xfId="0" applyAlignment="1" applyBorder="1" applyFill="1" applyFont="1">
      <alignment horizontal="center" readingOrder="0" vertical="center"/>
    </xf>
    <xf borderId="3" fillId="6" fontId="8" numFmtId="0" xfId="0" applyAlignment="1" applyBorder="1" applyFill="1" applyFont="1">
      <alignment horizontal="center" vertical="center"/>
    </xf>
    <xf borderId="3" fillId="6" fontId="8" numFmtId="164" xfId="0" applyAlignment="1" applyBorder="1" applyFill="1" applyFont="1" applyNumberFormat="1">
      <alignment horizontal="center" readingOrder="0" vertical="center"/>
    </xf>
    <xf borderId="3" fillId="0" fontId="8" numFmtId="0" xfId="0" applyAlignment="1" applyBorder="1" applyFont="1">
      <alignment horizontal="center" vertical="center"/>
    </xf>
    <xf borderId="3" fillId="0" fontId="14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left" readingOrder="0" shrinkToFit="0" vertical="center" wrapText="1"/>
    </xf>
    <xf borderId="3" fillId="2" fontId="14" numFmtId="0" xfId="0" applyAlignment="1" applyBorder="1" applyFill="1" applyFont="1">
      <alignment horizontal="center" readingOrder="0" vertical="bottom"/>
    </xf>
    <xf borderId="4" fillId="0" fontId="15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vertical="center"/>
    </xf>
    <xf borderId="4" fillId="6" fontId="18" numFmtId="0" xfId="0" applyAlignment="1" applyBorder="1" applyFill="1" applyFont="1">
      <alignment horizontal="center" readingOrder="0" vertical="center"/>
    </xf>
    <xf borderId="4" fillId="0" fontId="7" numFmtId="0" xfId="0" applyAlignment="1" applyBorder="1" applyFont="1">
      <alignment horizontal="left" vertical="center"/>
    </xf>
    <xf borderId="4" fillId="0" fontId="9" numFmtId="0" xfId="0" applyAlignment="1" applyBorder="1" applyFont="1">
      <alignment vertical="center"/>
    </xf>
    <xf borderId="4" fillId="0" fontId="10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0" fillId="0" fontId="19" numFmtId="0" xfId="0" applyAlignment="1" applyFont="1">
      <alignment horizontal="center" vertical="center"/>
    </xf>
    <xf borderId="0" fillId="8" fontId="20" numFmtId="0" xfId="0" applyAlignment="1" applyFill="1" applyFont="1">
      <alignment horizontal="left" readingOrder="0" vertical="center"/>
    </xf>
    <xf borderId="0" fillId="8" fontId="20" numFmtId="0" xfId="0" applyAlignment="1" applyFill="1" applyFont="1">
      <alignment horizontal="center" vertical="center"/>
    </xf>
    <xf borderId="0" fillId="2" fontId="21" numFmtId="0" xfId="0" applyAlignment="1" applyFill="1" applyFont="1">
      <alignment readingOrder="0" vertical="center"/>
    </xf>
    <xf borderId="0" fillId="2" fontId="22" numFmtId="0" xfId="0" applyAlignment="1" applyFill="1" applyFont="1">
      <alignment vertical="center"/>
    </xf>
    <xf borderId="0" fillId="0" fontId="3" numFmtId="0" xfId="0" applyAlignment="1" applyFont="1">
      <alignment horizontal="left" shrinkToFit="0" vertical="center" wrapText="1"/>
    </xf>
    <xf borderId="0" fillId="9" fontId="20" numFmtId="0" xfId="0" applyAlignment="1" applyFill="1" applyFont="1">
      <alignment horizontal="center" readingOrder="0" vertical="center"/>
    </xf>
    <xf borderId="0" fillId="4" fontId="20" numFmtId="0" xfId="0" applyAlignment="1" applyFill="1" applyFont="1">
      <alignment horizontal="center" vertical="center"/>
    </xf>
    <xf borderId="4" fillId="3" fontId="23" numFmtId="0" xfId="0" applyAlignment="1" applyBorder="1" applyFill="1" applyFont="1">
      <alignment horizontal="center" readingOrder="0" vertical="center"/>
    </xf>
    <xf borderId="1" fillId="3" fontId="20" numFmtId="0" xfId="0" applyAlignment="1" applyBorder="1" applyFill="1" applyFont="1">
      <alignment horizontal="left" readingOrder="0" shrinkToFit="0" vertical="center" wrapText="1"/>
    </xf>
    <xf borderId="4" fillId="10" fontId="24" numFmtId="0" xfId="0" applyAlignment="1" applyBorder="1" applyFill="1" applyFont="1">
      <alignment horizontal="center" readingOrder="0" vertical="center"/>
    </xf>
    <xf borderId="4" fillId="0" fontId="25" numFmtId="0" xfId="0" applyAlignment="1" applyBorder="1" applyFont="1">
      <alignment horizontal="center" vertical="bottom"/>
    </xf>
    <xf borderId="4" fillId="0" fontId="25" numFmtId="0" xfId="0" applyAlignment="1" applyBorder="1" applyFont="1">
      <alignment horizontal="right" vertical="bottom"/>
    </xf>
    <xf borderId="4" fillId="0" fontId="26" numFmtId="0" xfId="0" applyAlignment="1" applyBorder="1" applyFont="1">
      <alignment horizontal="center" readingOrder="0" vertical="center"/>
    </xf>
    <xf borderId="4" fillId="6" fontId="26" numFmtId="0" xfId="0" applyAlignment="1" applyBorder="1" applyFill="1" applyFont="1">
      <alignment horizontal="center" readingOrder="0" vertical="center"/>
    </xf>
    <xf borderId="1" fillId="2" fontId="27" numFmtId="0" xfId="0" applyAlignment="1" applyBorder="1" applyFill="1" applyFont="1">
      <alignment horizontal="center" shrinkToFit="0" vertical="center" wrapText="1"/>
    </xf>
    <xf borderId="4" fillId="11" fontId="24" numFmtId="0" xfId="0" applyAlignment="1" applyBorder="1" applyFill="1" applyFont="1">
      <alignment horizontal="center" readingOrder="0" vertical="center"/>
    </xf>
    <xf borderId="4" fillId="2" fontId="28" numFmtId="0" xfId="0" applyAlignment="1" applyBorder="1" applyFill="1" applyFont="1">
      <alignment horizontal="center" readingOrder="0" shrinkToFit="0" vertical="center" wrapText="1"/>
    </xf>
    <xf borderId="4" fillId="2" fontId="29" numFmtId="0" xfId="0" applyAlignment="1" applyBorder="1" applyFill="1" applyFont="1">
      <alignment horizontal="center" vertical="center"/>
    </xf>
    <xf borderId="4" fillId="2" fontId="29" numFmtId="0" xfId="0" applyAlignment="1" applyBorder="1" applyFill="1" applyFont="1">
      <alignment horizontal="right" vertical="center"/>
    </xf>
    <xf borderId="4" fillId="2" fontId="29" numFmtId="0" xfId="0" applyAlignment="1" applyBorder="1" applyFill="1" applyFont="1">
      <alignment horizontal="center" readingOrder="0" vertical="center"/>
    </xf>
    <xf borderId="4" fillId="2" fontId="30" numFmtId="0" xfId="0" applyAlignment="1" applyBorder="1" applyFill="1" applyFont="1">
      <alignment horizontal="center" readingOrder="0" vertical="center"/>
    </xf>
    <xf borderId="1" fillId="12" fontId="31" numFmtId="0" xfId="0" applyAlignment="1" applyBorder="1" applyFill="1" applyFont="1">
      <alignment horizontal="center" shrinkToFit="0" vertical="center" wrapText="1"/>
    </xf>
    <xf borderId="0" fillId="13" fontId="32" numFmtId="0" xfId="0" applyAlignment="1" applyFill="1" applyFont="1">
      <alignment readingOrder="0" vertical="center"/>
    </xf>
    <xf borderId="0" fillId="14" fontId="33" numFmtId="0" xfId="0" applyAlignment="1" applyFill="1" applyFont="1">
      <alignment horizontal="center" vertical="center"/>
    </xf>
    <xf borderId="0" fillId="0" fontId="26" numFmtId="0" xfId="0" applyAlignment="1" applyFont="1">
      <alignment horizontal="center" readingOrder="0" vertical="center"/>
    </xf>
    <xf borderId="0" fillId="0" fontId="27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2.38"/>
    <col customWidth="1" min="2" max="2" width="32.13"/>
    <col customWidth="1" min="3" max="3" width="14.25"/>
    <col customWidth="1" min="7" max="7" width="16.13"/>
    <col customWidth="1" min="10" max="10" width="41.13"/>
    <col customWidth="1" min="11" max="12" width="36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7" t="s">
        <v>10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8" t="s">
        <v>11</v>
      </c>
      <c r="B3" s="9" t="s">
        <v>12</v>
      </c>
      <c r="C3" s="10">
        <v>5.0</v>
      </c>
      <c r="D3" s="11">
        <v>2500.0</v>
      </c>
      <c r="E3" s="11" t="s">
        <v>13</v>
      </c>
      <c r="F3" s="11" t="s">
        <v>14</v>
      </c>
      <c r="G3" s="12">
        <v>45488.0</v>
      </c>
      <c r="H3" s="13">
        <v>0.0</v>
      </c>
      <c r="I3" s="13">
        <v>0.0</v>
      </c>
      <c r="J3" s="1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8" t="s">
        <v>15</v>
      </c>
      <c r="B4" s="9" t="s">
        <v>16</v>
      </c>
      <c r="C4" s="10">
        <v>3.0</v>
      </c>
      <c r="D4" s="11">
        <v>1500.0</v>
      </c>
      <c r="E4" s="13" t="s">
        <v>17</v>
      </c>
      <c r="F4" s="13" t="s">
        <v>14</v>
      </c>
      <c r="G4" s="15">
        <v>45483.0</v>
      </c>
      <c r="H4" s="13">
        <v>0.0</v>
      </c>
      <c r="I4" s="13">
        <v>0.0</v>
      </c>
      <c r="J4" s="1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8" t="s">
        <v>18</v>
      </c>
      <c r="B5" s="9" t="s">
        <v>19</v>
      </c>
      <c r="C5" s="10">
        <v>2.0</v>
      </c>
      <c r="D5" s="11">
        <v>1000.0</v>
      </c>
      <c r="E5" s="11" t="s">
        <v>13</v>
      </c>
      <c r="F5" s="11" t="s">
        <v>14</v>
      </c>
      <c r="G5" s="12">
        <v>45480.0</v>
      </c>
      <c r="H5" s="13">
        <v>0.0</v>
      </c>
      <c r="I5" s="13">
        <v>0.0</v>
      </c>
      <c r="J5" s="16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20</v>
      </c>
      <c r="B6" s="9" t="s">
        <v>21</v>
      </c>
      <c r="C6" s="10">
        <v>4.0</v>
      </c>
      <c r="D6" s="17">
        <v>2000.0</v>
      </c>
      <c r="E6" s="18" t="s">
        <v>22</v>
      </c>
      <c r="F6" s="18" t="s">
        <v>23</v>
      </c>
      <c r="G6" s="19">
        <v>45488.0</v>
      </c>
      <c r="H6" s="13">
        <v>0.0</v>
      </c>
      <c r="I6" s="13">
        <v>0.0</v>
      </c>
      <c r="J6" s="16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8" t="s">
        <v>24</v>
      </c>
      <c r="B7" s="9" t="s">
        <v>25</v>
      </c>
      <c r="C7" s="10">
        <v>2.0</v>
      </c>
      <c r="D7" s="20">
        <v>1000.0</v>
      </c>
      <c r="E7" s="13" t="s">
        <v>13</v>
      </c>
      <c r="F7" s="13" t="s">
        <v>14</v>
      </c>
      <c r="G7" s="15">
        <v>45487.0</v>
      </c>
      <c r="H7" s="13">
        <v>0.0</v>
      </c>
      <c r="I7" s="13">
        <v>0.0</v>
      </c>
      <c r="J7" s="16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8" t="s">
        <v>26</v>
      </c>
      <c r="B8" s="9" t="s">
        <v>27</v>
      </c>
      <c r="C8" s="21">
        <v>1.0</v>
      </c>
      <c r="D8" s="20">
        <v>500.0</v>
      </c>
      <c r="E8" s="13" t="s">
        <v>17</v>
      </c>
      <c r="F8" s="13" t="s">
        <v>14</v>
      </c>
      <c r="G8" s="15">
        <v>45483.0</v>
      </c>
      <c r="H8" s="13">
        <v>0.0</v>
      </c>
      <c r="I8" s="13">
        <v>0.0</v>
      </c>
      <c r="J8" s="16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8" t="s">
        <v>28</v>
      </c>
      <c r="B9" s="22" t="s">
        <v>29</v>
      </c>
      <c r="C9" s="23">
        <v>1.0</v>
      </c>
      <c r="D9" s="24"/>
      <c r="E9" s="24"/>
      <c r="F9" s="24"/>
      <c r="G9" s="24"/>
      <c r="H9" s="24"/>
      <c r="I9" s="24"/>
      <c r="J9" s="25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8" t="s">
        <v>30</v>
      </c>
      <c r="B10" s="22" t="s">
        <v>31</v>
      </c>
      <c r="C10" s="10">
        <v>1.0</v>
      </c>
      <c r="D10" s="11">
        <v>1040.0</v>
      </c>
      <c r="E10" s="13" t="s">
        <v>17</v>
      </c>
      <c r="F10" s="13" t="s">
        <v>14</v>
      </c>
      <c r="G10" s="15">
        <v>45501.0</v>
      </c>
      <c r="H10" s="13">
        <v>0.0</v>
      </c>
      <c r="I10" s="26">
        <v>40.0</v>
      </c>
      <c r="J10" s="27" t="s">
        <v>32</v>
      </c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8" t="s">
        <v>33</v>
      </c>
      <c r="B11" s="22" t="s">
        <v>34</v>
      </c>
      <c r="C11" s="10">
        <v>1.0</v>
      </c>
      <c r="D11" s="20">
        <v>500.0</v>
      </c>
      <c r="E11" s="13" t="s">
        <v>17</v>
      </c>
      <c r="F11" s="13" t="s">
        <v>14</v>
      </c>
      <c r="G11" s="15">
        <v>45483.0</v>
      </c>
      <c r="H11" s="13">
        <v>0.0</v>
      </c>
      <c r="I11" s="13">
        <v>0.0</v>
      </c>
      <c r="J11" s="16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8" t="s">
        <v>35</v>
      </c>
      <c r="B12" s="22" t="s">
        <v>36</v>
      </c>
      <c r="C12" s="10">
        <v>1.0</v>
      </c>
      <c r="D12" s="11">
        <v>500.0</v>
      </c>
      <c r="E12" s="13" t="s">
        <v>17</v>
      </c>
      <c r="F12" s="13" t="s">
        <v>14</v>
      </c>
      <c r="G12" s="15">
        <v>45482.0</v>
      </c>
      <c r="H12" s="13">
        <v>0.0</v>
      </c>
      <c r="I12" s="13">
        <v>0.0</v>
      </c>
      <c r="J12" s="16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8" t="s">
        <v>37</v>
      </c>
      <c r="B13" s="22" t="s">
        <v>38</v>
      </c>
      <c r="C13" s="10">
        <v>2.0</v>
      </c>
      <c r="D13" s="11">
        <v>1000.0</v>
      </c>
      <c r="E13" s="13" t="s">
        <v>17</v>
      </c>
      <c r="F13" s="13" t="s">
        <v>14</v>
      </c>
      <c r="G13" s="15">
        <v>45485.0</v>
      </c>
      <c r="H13" s="13">
        <v>0.0</v>
      </c>
      <c r="I13" s="13">
        <v>0.0</v>
      </c>
      <c r="J13" s="16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8" t="s">
        <v>39</v>
      </c>
      <c r="B14" s="22" t="s">
        <v>40</v>
      </c>
      <c r="C14" s="10">
        <v>2.0</v>
      </c>
      <c r="D14" s="28">
        <v>2010.0</v>
      </c>
      <c r="E14" s="28" t="s">
        <v>41</v>
      </c>
      <c r="F14" s="28" t="s">
        <v>42</v>
      </c>
      <c r="G14" s="29">
        <v>45487.0</v>
      </c>
      <c r="H14" s="30">
        <v>30.0</v>
      </c>
      <c r="I14" s="30">
        <v>40.0</v>
      </c>
      <c r="J14" s="31" t="s">
        <v>43</v>
      </c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8" t="s">
        <v>44</v>
      </c>
      <c r="B15" s="32" t="s">
        <v>45</v>
      </c>
      <c r="C15" s="33">
        <v>2.0</v>
      </c>
      <c r="D15" s="28">
        <v>2080.0</v>
      </c>
      <c r="E15" s="28" t="s">
        <v>17</v>
      </c>
      <c r="F15" s="28" t="s">
        <v>23</v>
      </c>
      <c r="G15" s="29">
        <v>45491.0</v>
      </c>
      <c r="H15" s="17">
        <v>0.0</v>
      </c>
      <c r="I15" s="17">
        <v>80.0</v>
      </c>
      <c r="J15" s="34" t="s">
        <v>46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8" t="s">
        <v>47</v>
      </c>
      <c r="B16" s="22" t="s">
        <v>48</v>
      </c>
      <c r="C16" s="10">
        <v>6.0</v>
      </c>
      <c r="D16" s="35"/>
      <c r="E16" s="35"/>
      <c r="F16" s="35"/>
      <c r="G16" s="35"/>
      <c r="H16" s="36">
        <v>3120.0</v>
      </c>
      <c r="I16" s="36">
        <v>120.0</v>
      </c>
      <c r="J16" s="37" t="s">
        <v>49</v>
      </c>
      <c r="K16" s="17">
        <v>0.0</v>
      </c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8" t="s">
        <v>50</v>
      </c>
      <c r="B17" s="22" t="s">
        <v>51</v>
      </c>
      <c r="C17" s="10">
        <v>1.0</v>
      </c>
      <c r="D17" s="28"/>
      <c r="E17" s="28"/>
      <c r="F17" s="28"/>
      <c r="G17" s="38"/>
      <c r="H17" s="36">
        <v>520.0</v>
      </c>
      <c r="I17" s="36">
        <v>20.0</v>
      </c>
      <c r="J17" s="37" t="s">
        <v>49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8" t="s">
        <v>52</v>
      </c>
      <c r="B18" s="22" t="s">
        <v>53</v>
      </c>
      <c r="C18" s="10">
        <v>1.0</v>
      </c>
      <c r="D18" s="28">
        <v>500.0</v>
      </c>
      <c r="E18" s="28" t="s">
        <v>41</v>
      </c>
      <c r="F18" s="28" t="s">
        <v>42</v>
      </c>
      <c r="G18" s="29">
        <v>45487.0</v>
      </c>
      <c r="H18" s="17">
        <v>0.0</v>
      </c>
      <c r="I18" s="17">
        <v>0.0</v>
      </c>
      <c r="J18" s="16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8" t="s">
        <v>54</v>
      </c>
      <c r="B19" s="22" t="s">
        <v>55</v>
      </c>
      <c r="C19" s="10">
        <v>4.0</v>
      </c>
      <c r="D19" s="28">
        <v>2000.0</v>
      </c>
      <c r="E19" s="28" t="s">
        <v>41</v>
      </c>
      <c r="F19" s="28" t="s">
        <v>42</v>
      </c>
      <c r="G19" s="29">
        <v>45485.0</v>
      </c>
      <c r="H19" s="17">
        <v>0.0</v>
      </c>
      <c r="I19" s="17">
        <v>0.0</v>
      </c>
      <c r="J19" s="16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8" t="s">
        <v>56</v>
      </c>
      <c r="B20" s="22" t="s">
        <v>57</v>
      </c>
      <c r="C20" s="10">
        <v>2.0</v>
      </c>
      <c r="D20" s="11">
        <v>1000.0</v>
      </c>
      <c r="E20" s="11" t="s">
        <v>13</v>
      </c>
      <c r="F20" s="11" t="s">
        <v>14</v>
      </c>
      <c r="G20" s="12">
        <v>45480.0</v>
      </c>
      <c r="H20" s="36">
        <v>40.0</v>
      </c>
      <c r="I20" s="36">
        <v>40.0</v>
      </c>
      <c r="J20" s="37" t="s">
        <v>58</v>
      </c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8" t="s">
        <v>59</v>
      </c>
      <c r="B21" s="22" t="s">
        <v>60</v>
      </c>
      <c r="C21" s="10">
        <v>2.0</v>
      </c>
      <c r="D21" s="11">
        <v>1000.0</v>
      </c>
      <c r="E21" s="11" t="s">
        <v>13</v>
      </c>
      <c r="F21" s="11" t="s">
        <v>14</v>
      </c>
      <c r="G21" s="12">
        <v>45480.0</v>
      </c>
      <c r="H21" s="36">
        <v>40.0</v>
      </c>
      <c r="I21" s="36">
        <v>40.0</v>
      </c>
      <c r="J21" s="37" t="s">
        <v>58</v>
      </c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8" t="s">
        <v>61</v>
      </c>
      <c r="B22" s="22" t="s">
        <v>62</v>
      </c>
      <c r="C22" s="10">
        <v>1.0</v>
      </c>
      <c r="D22" s="39"/>
      <c r="E22" s="39"/>
      <c r="F22" s="39"/>
      <c r="G22" s="39"/>
      <c r="H22" s="36">
        <v>1060.0</v>
      </c>
      <c r="I22" s="36">
        <v>60.0</v>
      </c>
      <c r="J22" s="37" t="s">
        <v>63</v>
      </c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8" t="s">
        <v>64</v>
      </c>
      <c r="B23" s="22" t="s">
        <v>65</v>
      </c>
      <c r="C23" s="10">
        <v>2.0</v>
      </c>
      <c r="D23" s="11">
        <v>1000.0</v>
      </c>
      <c r="E23" s="11" t="s">
        <v>17</v>
      </c>
      <c r="F23" s="11" t="s">
        <v>14</v>
      </c>
      <c r="G23" s="12">
        <v>45480.0</v>
      </c>
      <c r="H23" s="13">
        <v>0.0</v>
      </c>
      <c r="I23" s="13">
        <v>0.0</v>
      </c>
      <c r="J23" s="16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8" t="s">
        <v>66</v>
      </c>
      <c r="B24" s="22" t="s">
        <v>67</v>
      </c>
      <c r="C24" s="10">
        <v>2.0</v>
      </c>
      <c r="D24" s="39"/>
      <c r="E24" s="39"/>
      <c r="F24" s="39"/>
      <c r="G24" s="39"/>
      <c r="H24" s="40">
        <v>3120.0</v>
      </c>
      <c r="I24" s="40">
        <v>120.0</v>
      </c>
      <c r="J24" s="41" t="s">
        <v>68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8" t="s">
        <v>69</v>
      </c>
      <c r="B25" s="22" t="s">
        <v>70</v>
      </c>
      <c r="C25" s="33">
        <v>2.0</v>
      </c>
      <c r="D25" s="39"/>
      <c r="E25" s="39"/>
      <c r="F25" s="39"/>
      <c r="G25" s="39"/>
      <c r="H25" s="36">
        <v>2090.0</v>
      </c>
      <c r="I25" s="36">
        <v>80.0</v>
      </c>
      <c r="J25" s="42" t="s">
        <v>71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8" t="s">
        <v>72</v>
      </c>
      <c r="B26" s="43" t="s">
        <v>73</v>
      </c>
      <c r="C26" s="21">
        <v>1.0</v>
      </c>
      <c r="D26" s="11">
        <v>500.0</v>
      </c>
      <c r="E26" s="11" t="s">
        <v>17</v>
      </c>
      <c r="F26" s="11" t="s">
        <v>14</v>
      </c>
      <c r="G26" s="12">
        <v>45476.0</v>
      </c>
      <c r="H26" s="13">
        <v>0.0</v>
      </c>
      <c r="I26" s="13">
        <v>0.0</v>
      </c>
      <c r="J26" s="4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8" t="s">
        <v>74</v>
      </c>
      <c r="B27" s="32" t="s">
        <v>75</v>
      </c>
      <c r="C27" s="45">
        <v>2.0</v>
      </c>
      <c r="D27" s="46"/>
      <c r="E27" s="47"/>
      <c r="F27" s="47"/>
      <c r="G27" s="48"/>
      <c r="H27" s="36">
        <v>1040.0</v>
      </c>
      <c r="I27" s="36">
        <v>40.0</v>
      </c>
      <c r="J27" s="37" t="s">
        <v>76</v>
      </c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8" t="s">
        <v>77</v>
      </c>
      <c r="B28" s="22" t="s">
        <v>78</v>
      </c>
      <c r="C28" s="10">
        <v>1.0</v>
      </c>
      <c r="D28" s="11">
        <v>500.0</v>
      </c>
      <c r="E28" s="49" t="s">
        <v>13</v>
      </c>
      <c r="F28" s="49" t="s">
        <v>14</v>
      </c>
      <c r="G28" s="15">
        <v>45487.0</v>
      </c>
      <c r="H28" s="13">
        <v>0.0</v>
      </c>
      <c r="I28" s="13">
        <v>0.0</v>
      </c>
      <c r="J28" s="4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8" t="s">
        <v>79</v>
      </c>
      <c r="B29" s="22" t="s">
        <v>80</v>
      </c>
      <c r="C29" s="33">
        <v>2.0</v>
      </c>
      <c r="D29" s="39"/>
      <c r="E29" s="39"/>
      <c r="F29" s="39"/>
      <c r="G29" s="39"/>
      <c r="H29" s="36">
        <v>2080.0</v>
      </c>
      <c r="I29" s="36">
        <v>80.0</v>
      </c>
      <c r="J29" s="37" t="s">
        <v>81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8" t="s">
        <v>82</v>
      </c>
      <c r="B30" s="22" t="s">
        <v>83</v>
      </c>
      <c r="C30" s="10">
        <v>2.0</v>
      </c>
      <c r="D30" s="11">
        <v>1000.0</v>
      </c>
      <c r="E30" s="13" t="s">
        <v>17</v>
      </c>
      <c r="F30" s="13" t="s">
        <v>14</v>
      </c>
      <c r="G30" s="15">
        <v>45484.0</v>
      </c>
      <c r="H30" s="50">
        <v>10.0</v>
      </c>
      <c r="I30" s="13">
        <v>0.0</v>
      </c>
      <c r="J30" s="37" t="s">
        <v>84</v>
      </c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8" t="s">
        <v>85</v>
      </c>
      <c r="B31" s="22" t="s">
        <v>86</v>
      </c>
      <c r="C31" s="10">
        <v>1.0</v>
      </c>
      <c r="D31" s="11">
        <v>500.0</v>
      </c>
      <c r="E31" s="11" t="s">
        <v>13</v>
      </c>
      <c r="F31" s="11" t="s">
        <v>14</v>
      </c>
      <c r="G31" s="12">
        <v>45476.0</v>
      </c>
      <c r="H31" s="11">
        <v>0.0</v>
      </c>
      <c r="I31" s="11">
        <v>0.0</v>
      </c>
      <c r="J31" s="4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8" t="s">
        <v>87</v>
      </c>
      <c r="B32" s="22" t="s">
        <v>88</v>
      </c>
      <c r="C32" s="21">
        <v>2.0</v>
      </c>
      <c r="D32" s="11">
        <v>1000.0</v>
      </c>
      <c r="E32" s="11" t="s">
        <v>13</v>
      </c>
      <c r="F32" s="11" t="s">
        <v>14</v>
      </c>
      <c r="G32" s="12">
        <v>45476.0</v>
      </c>
      <c r="H32" s="11">
        <v>0.0</v>
      </c>
      <c r="I32" s="11">
        <v>0.0</v>
      </c>
      <c r="J32" s="4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8" t="s">
        <v>89</v>
      </c>
      <c r="B33" s="22" t="s">
        <v>90</v>
      </c>
      <c r="C33" s="21">
        <v>1.0</v>
      </c>
      <c r="D33" s="11" t="s">
        <v>91</v>
      </c>
      <c r="E33" s="11" t="s">
        <v>17</v>
      </c>
      <c r="F33" s="11" t="s">
        <v>14</v>
      </c>
      <c r="G33" s="12">
        <v>45430.0</v>
      </c>
      <c r="H33" s="11">
        <v>0.0</v>
      </c>
      <c r="I33" s="11">
        <v>0.0</v>
      </c>
      <c r="J33" s="51" t="s">
        <v>92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8" t="s">
        <v>93</v>
      </c>
      <c r="B34" s="32" t="s">
        <v>94</v>
      </c>
      <c r="C34" s="21">
        <v>2.0</v>
      </c>
      <c r="D34" s="39"/>
      <c r="E34" s="39"/>
      <c r="F34" s="39"/>
      <c r="G34" s="39"/>
      <c r="H34" s="52">
        <v>5200.0</v>
      </c>
      <c r="I34" s="52">
        <v>200.0</v>
      </c>
      <c r="J34" s="53" t="s">
        <v>95</v>
      </c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8" t="s">
        <v>96</v>
      </c>
      <c r="B35" s="32" t="s">
        <v>97</v>
      </c>
      <c r="C35" s="21">
        <v>2.0</v>
      </c>
      <c r="D35" s="39"/>
      <c r="E35" s="39"/>
      <c r="F35" s="39"/>
      <c r="G35" s="39"/>
      <c r="H35" s="52">
        <v>4160.0</v>
      </c>
      <c r="I35" s="52">
        <v>160.0</v>
      </c>
      <c r="J35" s="53" t="s">
        <v>98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8" t="s">
        <v>99</v>
      </c>
      <c r="B36" s="54" t="s">
        <v>100</v>
      </c>
      <c r="C36" s="55">
        <v>6.0</v>
      </c>
      <c r="D36" s="11">
        <v>3000.0</v>
      </c>
      <c r="E36" s="13" t="s">
        <v>17</v>
      </c>
      <c r="F36" s="13" t="s">
        <v>14</v>
      </c>
      <c r="G36" s="15">
        <v>45480.0</v>
      </c>
      <c r="H36" s="50">
        <v>15000.0</v>
      </c>
      <c r="I36" s="13">
        <v>0.0</v>
      </c>
      <c r="J36" s="53" t="s">
        <v>101</v>
      </c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8" t="s">
        <v>102</v>
      </c>
      <c r="B37" s="54" t="s">
        <v>103</v>
      </c>
      <c r="C37" s="55">
        <v>1.0</v>
      </c>
      <c r="D37" s="39"/>
      <c r="E37" s="39"/>
      <c r="F37" s="39"/>
      <c r="G37" s="39"/>
      <c r="H37" s="39"/>
      <c r="I37" s="39"/>
      <c r="J37" s="16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8" t="s">
        <v>104</v>
      </c>
      <c r="B38" s="56"/>
      <c r="C38" s="21"/>
      <c r="D38" s="39"/>
      <c r="E38" s="39"/>
      <c r="F38" s="39"/>
      <c r="G38" s="39"/>
      <c r="H38" s="39"/>
      <c r="I38" s="39"/>
      <c r="J38" s="16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8" t="s">
        <v>105</v>
      </c>
      <c r="B39" s="56"/>
      <c r="C39" s="45"/>
      <c r="D39" s="57"/>
      <c r="E39" s="57"/>
      <c r="F39" s="57"/>
      <c r="G39" s="57"/>
      <c r="H39" s="57"/>
      <c r="I39" s="57"/>
      <c r="J39" s="58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8" t="s">
        <v>106</v>
      </c>
      <c r="B40" s="56"/>
      <c r="C40" s="10"/>
      <c r="D40" s="57"/>
      <c r="E40" s="57"/>
      <c r="F40" s="57"/>
      <c r="G40" s="57"/>
      <c r="H40" s="57"/>
      <c r="I40" s="57"/>
      <c r="J40" s="58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8" t="s">
        <v>107</v>
      </c>
      <c r="B41" s="56"/>
      <c r="C41" s="59"/>
      <c r="D41" s="57"/>
      <c r="E41" s="57"/>
      <c r="F41" s="57"/>
      <c r="G41" s="57"/>
      <c r="H41" s="57"/>
      <c r="I41" s="57"/>
      <c r="J41" s="58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8" t="s">
        <v>108</v>
      </c>
      <c r="B42" s="56"/>
      <c r="C42" s="59"/>
      <c r="D42" s="57"/>
      <c r="E42" s="57"/>
      <c r="F42" s="57"/>
      <c r="G42" s="57"/>
      <c r="H42" s="57"/>
      <c r="I42" s="57"/>
      <c r="J42" s="58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8" t="s">
        <v>109</v>
      </c>
      <c r="B43" s="56"/>
      <c r="C43" s="59"/>
      <c r="D43" s="57"/>
      <c r="E43" s="57"/>
      <c r="F43" s="57"/>
      <c r="G43" s="57"/>
      <c r="H43" s="57"/>
      <c r="I43" s="57"/>
      <c r="J43" s="58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8" t="s">
        <v>110</v>
      </c>
      <c r="B44" s="56"/>
      <c r="C44" s="59"/>
      <c r="D44" s="57"/>
      <c r="E44" s="57"/>
      <c r="F44" s="57"/>
      <c r="G44" s="57"/>
      <c r="H44" s="57"/>
      <c r="I44" s="57"/>
      <c r="J44" s="58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8" t="s">
        <v>111</v>
      </c>
      <c r="B45" s="54" t="s">
        <v>112</v>
      </c>
      <c r="C45" s="59"/>
      <c r="D45" s="57"/>
      <c r="E45" s="57"/>
      <c r="F45" s="57"/>
      <c r="G45" s="57"/>
      <c r="H45" s="57"/>
      <c r="I45" s="57"/>
      <c r="J45" s="58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8" t="s">
        <v>113</v>
      </c>
      <c r="B46" s="56"/>
      <c r="C46" s="59"/>
      <c r="D46" s="57"/>
      <c r="E46" s="57"/>
      <c r="F46" s="57"/>
      <c r="G46" s="57"/>
      <c r="H46" s="57"/>
      <c r="I46" s="57"/>
      <c r="J46" s="58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8" t="s">
        <v>114</v>
      </c>
      <c r="B47" s="56"/>
      <c r="C47" s="59"/>
      <c r="D47" s="57"/>
      <c r="E47" s="57"/>
      <c r="F47" s="57"/>
      <c r="G47" s="57"/>
      <c r="H47" s="57"/>
      <c r="I47" s="57"/>
      <c r="J47" s="60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8" t="s">
        <v>115</v>
      </c>
      <c r="B48" s="61"/>
      <c r="C48" s="62"/>
      <c r="D48" s="57"/>
      <c r="E48" s="57"/>
      <c r="F48" s="57"/>
      <c r="G48" s="57"/>
      <c r="H48" s="57"/>
      <c r="I48" s="57"/>
      <c r="J48" s="60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63"/>
      <c r="B49" s="64" t="s">
        <v>116</v>
      </c>
      <c r="C49" s="65">
        <f>SUM(C3:C48)</f>
        <v>73</v>
      </c>
      <c r="D49" s="4"/>
      <c r="E49" s="4"/>
      <c r="F49" s="4"/>
      <c r="G49" s="66" t="s">
        <v>8</v>
      </c>
      <c r="H49" s="67">
        <f>SUM(H3:H36)</f>
        <v>37510</v>
      </c>
      <c r="I49" s="4"/>
      <c r="J49" s="68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68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69" t="s">
        <v>117</v>
      </c>
      <c r="D51" s="70">
        <f>SUM(D3:D48)</f>
        <v>27630</v>
      </c>
      <c r="H51" s="4"/>
      <c r="I51" s="4"/>
      <c r="J51" s="68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H52" s="4"/>
      <c r="I52" s="4"/>
      <c r="J52" s="68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H53" s="4"/>
      <c r="I53" s="4"/>
      <c r="J53" s="68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H54" s="4"/>
      <c r="I54" s="4"/>
      <c r="J54" s="68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68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68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71" t="s">
        <v>118</v>
      </c>
      <c r="C57" s="71" t="s">
        <v>119</v>
      </c>
      <c r="D57" s="71" t="s">
        <v>120</v>
      </c>
      <c r="E57" s="71" t="s">
        <v>121</v>
      </c>
      <c r="F57" s="71" t="s">
        <v>122</v>
      </c>
      <c r="G57" s="71" t="s">
        <v>123</v>
      </c>
      <c r="H57" s="71" t="s">
        <v>124</v>
      </c>
      <c r="I57" s="71" t="s">
        <v>125</v>
      </c>
      <c r="J57" s="72" t="s">
        <v>126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73" t="s">
        <v>127</v>
      </c>
      <c r="C58" s="74">
        <v>25000.0</v>
      </c>
      <c r="D58" s="74">
        <v>18500.0</v>
      </c>
      <c r="E58" s="74">
        <v>20540.0</v>
      </c>
      <c r="F58" s="75">
        <v>19700.0</v>
      </c>
      <c r="G58" s="76">
        <v>23100.0</v>
      </c>
      <c r="H58" s="77">
        <v>21560.0</v>
      </c>
      <c r="I58" s="77">
        <f>SUM(D3:D5,D7:D8,D10:D13,D20:D36)</f>
        <v>19040</v>
      </c>
      <c r="J58" s="78">
        <f t="shared" ref="J58:J59" si="1">SUM(C58:I58)</f>
        <v>147440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79" t="s">
        <v>23</v>
      </c>
      <c r="C59" s="74">
        <v>10000.0</v>
      </c>
      <c r="D59" s="74">
        <v>12500.0</v>
      </c>
      <c r="E59" s="74">
        <v>11000.0</v>
      </c>
      <c r="F59" s="75">
        <v>9040.0</v>
      </c>
      <c r="G59" s="76">
        <v>10035.0</v>
      </c>
      <c r="H59" s="77">
        <v>7000.0</v>
      </c>
      <c r="I59" s="77">
        <f>SUM(D6,D14:D15,D18:D19)</f>
        <v>8590</v>
      </c>
      <c r="J59" s="78">
        <f t="shared" si="1"/>
        <v>68165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80" t="s">
        <v>128</v>
      </c>
      <c r="C60" s="81">
        <f>SUM(C58,C59)</f>
        <v>35000</v>
      </c>
      <c r="D60" s="81">
        <f t="shared" ref="D60:J60" si="2">SUM(D58:D59)</f>
        <v>31000</v>
      </c>
      <c r="E60" s="81">
        <f t="shared" si="2"/>
        <v>31540</v>
      </c>
      <c r="F60" s="82">
        <f t="shared" si="2"/>
        <v>28740</v>
      </c>
      <c r="G60" s="83">
        <f t="shared" si="2"/>
        <v>33135</v>
      </c>
      <c r="H60" s="84">
        <f t="shared" si="2"/>
        <v>28560</v>
      </c>
      <c r="I60" s="84">
        <f t="shared" si="2"/>
        <v>27630</v>
      </c>
      <c r="J60" s="85">
        <f t="shared" si="2"/>
        <v>215605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86" t="s">
        <v>129</v>
      </c>
      <c r="C61" s="87">
        <f>SUM(C60:I60)</f>
        <v>215605</v>
      </c>
      <c r="J61" s="68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68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68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68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68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H66" s="4"/>
      <c r="I66" s="4"/>
      <c r="J66" s="68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88"/>
      <c r="H67" s="4"/>
      <c r="I67" s="4"/>
      <c r="J67" s="68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89"/>
      <c r="H68" s="4"/>
      <c r="I68" s="4"/>
      <c r="J68" s="68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88"/>
      <c r="H69" s="4"/>
      <c r="I69" s="4"/>
      <c r="J69" s="68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68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68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68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68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68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68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68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68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68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68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68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68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68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68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68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68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68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68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68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68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68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68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68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68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68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68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68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68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68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68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68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68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68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68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68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68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68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68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68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68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68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68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68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68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68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68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68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68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68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68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68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68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68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68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68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68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68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68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68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68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68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68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68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68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68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68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68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68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68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68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68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68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68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68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68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68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68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68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68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68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68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68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68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68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68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68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68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68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68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68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68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68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68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68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68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68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68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68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68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68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68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68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68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68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68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68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68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68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68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68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68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68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68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68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68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68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68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68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68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68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68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68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68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68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68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68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68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68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68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68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68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68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68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68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68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68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68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68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68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68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68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68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68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68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68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68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68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68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68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68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68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68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68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68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68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68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68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68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68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68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68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68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68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68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68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68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68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68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68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68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68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68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68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68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68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68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68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68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68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68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68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68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68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68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68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68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68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68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68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68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68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68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68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68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68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68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68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68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68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68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68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68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68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68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68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68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68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68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68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68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68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68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68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68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68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68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68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68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68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68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68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68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68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68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68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68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68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68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68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68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68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68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68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68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68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68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68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68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68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68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68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68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68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68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68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68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68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68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68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68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68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68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68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68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68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68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68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68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68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68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68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68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68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68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68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68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68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68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68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68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68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68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68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68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68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68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68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68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68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68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68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68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68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68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68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68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68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68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68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68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68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68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68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68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68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68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68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68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68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68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68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68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68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68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68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68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68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68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68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68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68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68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68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68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68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68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68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68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68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68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68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68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68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68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68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68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68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68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68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68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68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68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68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68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68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68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68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68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68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68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68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68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68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68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68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68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68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68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68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68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68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68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68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68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68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68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68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68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68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68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68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68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68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68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68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68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68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68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68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68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68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68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68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68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68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68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68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68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68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68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68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68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68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68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68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68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68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68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68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68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68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68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68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68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68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68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68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68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68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68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68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68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68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68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68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68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68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68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68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68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68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68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68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68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68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68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68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68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68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68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68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68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68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68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68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68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68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68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68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68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68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68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68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68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68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68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68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68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68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68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68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68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68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68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68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68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68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68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68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68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68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68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68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68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68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68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68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68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68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68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68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68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68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68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68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68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68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68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68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68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68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68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68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68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68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68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68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68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68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68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68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68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68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68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68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68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68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68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68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68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68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68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68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68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68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68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68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68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68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68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68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68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68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68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68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68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68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68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68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68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68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68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68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68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68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68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68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68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68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68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68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68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68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68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68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68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68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68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68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68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68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68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68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68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68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68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68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68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68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68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68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68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68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68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68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68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68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68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68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68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68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68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68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68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68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68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68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68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68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68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68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68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68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68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68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68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68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68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68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68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68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68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68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68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68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68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68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68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68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68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68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68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68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68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68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68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68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68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68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68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68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68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68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68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68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68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68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68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68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68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68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68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68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68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68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68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68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68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68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68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68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68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68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68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68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68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68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68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68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68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68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68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68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68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68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68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68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68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68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68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68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68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68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68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68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68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68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68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68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68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68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68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68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68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68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68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68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68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68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68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68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68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68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68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68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68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68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68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68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68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68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68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68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68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68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68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68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68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68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68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68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68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68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68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68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68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68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68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68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68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68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68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68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68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68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68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68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68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68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68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68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68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68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68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68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68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68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68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68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68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68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68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68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68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68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68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68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68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68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68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68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68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68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68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68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68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68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68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68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68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68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68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68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68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68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68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68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68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68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68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68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68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68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68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68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68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68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68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68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68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68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68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68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68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68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68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68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68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68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68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68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68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68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68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68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68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68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68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68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68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68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68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68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68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68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68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68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68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68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68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68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68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68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68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68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68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68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68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68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68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68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68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68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68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68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68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68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68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68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68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68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68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68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68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68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68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68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68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68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68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68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68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68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68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68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68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68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68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68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68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68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68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68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68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68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68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68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68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68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68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68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68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68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68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68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68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68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68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68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68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68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68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68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68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68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68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68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68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68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68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68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68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68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68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68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68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68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68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68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68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68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68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68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68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68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68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68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68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68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68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68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68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68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68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68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68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68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68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68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68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68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68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68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68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68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68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68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68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68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68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68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68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68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68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68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68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68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68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68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68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68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68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68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68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68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68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68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68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68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68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68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68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68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68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68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68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68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68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68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68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68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68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68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68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68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68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68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68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68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68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68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68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68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68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68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68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68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68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68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68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68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J1"/>
    <mergeCell ref="B51:C54"/>
    <mergeCell ref="D51:G54"/>
    <mergeCell ref="C61:I61"/>
  </mergeCells>
  <conditionalFormatting sqref="A1:J2">
    <cfRule type="colorScale" priority="1">
      <colorScale>
        <cfvo type="min"/>
        <cfvo type="max"/>
        <color rgb="FF57BB8A"/>
        <color rgb="FFFFFFFF"/>
      </colorScale>
    </cfRule>
  </conditionalFormatting>
  <drawing r:id="rId1"/>
</worksheet>
</file>